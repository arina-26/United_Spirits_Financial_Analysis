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ed Spirits IS" sheetId="1" r:id="rId5"/>
    <sheet state="visible" name="United Spirits BS" sheetId="2" r:id="rId6"/>
    <sheet state="visible" name="Liquidity Ratio" sheetId="3" r:id="rId7"/>
    <sheet state="visible" name="Activity Ratio" sheetId="4" r:id="rId8"/>
    <sheet state="visible" name="Profitability Ratio" sheetId="5" r:id="rId9"/>
    <sheet state="visible" name="Solvency Ratio" sheetId="6" r:id="rId10"/>
    <sheet state="visible" name="Valuation Ratio" sheetId="7" r:id="rId11"/>
    <sheet state="visible" name="DuPont Analysis" sheetId="8" r:id="rId12"/>
  </sheets>
  <definedNames/>
  <calcPr/>
</workbook>
</file>

<file path=xl/sharedStrings.xml><?xml version="1.0" encoding="utf-8"?>
<sst xmlns="http://schemas.openxmlformats.org/spreadsheetml/2006/main" count="326" uniqueCount="116">
  <si>
    <t>United Spirits Limited - Consolidated Income Statement ('INR Crore)</t>
  </si>
  <si>
    <t>United Spirits Limited - Common Size Income Statement</t>
  </si>
  <si>
    <t>Consolidated Income Statement</t>
  </si>
  <si>
    <t>March 31, 2025</t>
  </si>
  <si>
    <t>March 31, 2024</t>
  </si>
  <si>
    <t>March 31, 2023</t>
  </si>
  <si>
    <t>March 31, 2022</t>
  </si>
  <si>
    <t>Revenue or Sales</t>
  </si>
  <si>
    <t>Revenue from Operations</t>
  </si>
  <si>
    <t>Total Revenue or Income</t>
  </si>
  <si>
    <t>Other Income</t>
  </si>
  <si>
    <t>Cost of Materials Consumed</t>
  </si>
  <si>
    <t>Purchase of Stock-in-Trade</t>
  </si>
  <si>
    <t>Cost Of Goods Sold (COGS)</t>
  </si>
  <si>
    <t>Total COGS</t>
  </si>
  <si>
    <t xml:space="preserve">Gross Profit </t>
  </si>
  <si>
    <t>Change in Inventories of Finished Goods, Work-in-Progress and Stock-in-Trade</t>
  </si>
  <si>
    <t>Employee Benefits Expense</t>
  </si>
  <si>
    <t>Excise Duty</t>
  </si>
  <si>
    <t>Depreciation and Amortisation Expense</t>
  </si>
  <si>
    <t>Other Expenses</t>
  </si>
  <si>
    <t>Revenue - COGS</t>
  </si>
  <si>
    <t xml:space="preserve">Total OPEX </t>
  </si>
  <si>
    <t>Operating Profit or Earnings Before Interest and Taxes (EBIT)</t>
  </si>
  <si>
    <t>Operating Expenses (OPEX)</t>
  </si>
  <si>
    <t>Finance Costs</t>
  </si>
  <si>
    <t>Add/(Less): Exceptional Items, Net</t>
  </si>
  <si>
    <t>Profit Before Tax (PBT)</t>
  </si>
  <si>
    <t>Current Tax</t>
  </si>
  <si>
    <t>Gross Profit - OPEX</t>
  </si>
  <si>
    <t>Deferred tax</t>
  </si>
  <si>
    <t>Total Tax Expense</t>
  </si>
  <si>
    <t xml:space="preserve">Interest </t>
  </si>
  <si>
    <t>Net Income or Proft After Tax (PAT)</t>
  </si>
  <si>
    <t>Non-Operating Income</t>
  </si>
  <si>
    <t>EBIT - Interest + Non-Operating Income</t>
  </si>
  <si>
    <t>Tax Expense</t>
  </si>
  <si>
    <t>PBT - Tax</t>
  </si>
  <si>
    <t>Net Income or Profit After Tax (PAT)</t>
  </si>
  <si>
    <t>United Spirits Limited - Consolidated Balance Sheet ('INR Crore)</t>
  </si>
  <si>
    <t>United Spirits Limited - Common Size Balance Sheet</t>
  </si>
  <si>
    <t>Consolidated Balance Sheet</t>
  </si>
  <si>
    <t>ASSETS</t>
  </si>
  <si>
    <t>Non-Current Assets</t>
  </si>
  <si>
    <t>Property, Plant and Equipment</t>
  </si>
  <si>
    <t xml:space="preserve">Intangible Assets </t>
  </si>
  <si>
    <t>Intangible Assets (Goodwill)</t>
  </si>
  <si>
    <t>Financial Assets</t>
  </si>
  <si>
    <t>Other Intangible Assets (Under Development)</t>
  </si>
  <si>
    <t>*Other Non-Current Assets</t>
  </si>
  <si>
    <t>Total Non-Current Assets</t>
  </si>
  <si>
    <t>Current Assets</t>
  </si>
  <si>
    <t>Inventories</t>
  </si>
  <si>
    <t>Trade Receivables (Billed and Unbilled)</t>
  </si>
  <si>
    <t>Cash and Cash Equivalents</t>
  </si>
  <si>
    <t>Total Current Assets</t>
  </si>
  <si>
    <t>Total Assets</t>
  </si>
  <si>
    <t>EQUITY &amp; LIABILITY</t>
  </si>
  <si>
    <t>Equity</t>
  </si>
  <si>
    <t>Share Capital</t>
  </si>
  <si>
    <t>Other equity</t>
  </si>
  <si>
    <t>Total Equity</t>
  </si>
  <si>
    <t>Non-Current Liabilities</t>
  </si>
  <si>
    <t>Provisions</t>
  </si>
  <si>
    <t>*Other Non-Current Liabilities</t>
  </si>
  <si>
    <t>Total Non-Current Liabilities</t>
  </si>
  <si>
    <t>Current Liabilities</t>
  </si>
  <si>
    <t>Trade payables</t>
  </si>
  <si>
    <t>*Other Current Liabilities</t>
  </si>
  <si>
    <t>Total Current Liabilities</t>
  </si>
  <si>
    <t>Total Liability</t>
  </si>
  <si>
    <t>Total Equity and Liability</t>
  </si>
  <si>
    <t xml:space="preserve">        </t>
  </si>
  <si>
    <t>Current Ratio</t>
  </si>
  <si>
    <t>Company Name</t>
  </si>
  <si>
    <t>United Spirits</t>
  </si>
  <si>
    <t>Baseline</t>
  </si>
  <si>
    <t>Acid-Test (Quick) Ratio</t>
  </si>
  <si>
    <t>Cash Ratio</t>
  </si>
  <si>
    <t>Accounts Receivable Turnover Ratio (ART)</t>
  </si>
  <si>
    <t>Fixed Asset Turnover Ratio (FAT)</t>
  </si>
  <si>
    <t>Formula</t>
  </si>
  <si>
    <t>Revenue from Operations / Trade Receivables</t>
  </si>
  <si>
    <t>Total Revenue / Property, Plant and Equipment (PPE)</t>
  </si>
  <si>
    <t>Days in Receivables (DSO)</t>
  </si>
  <si>
    <t>Total Asset Turnover Ratio (TAT)</t>
  </si>
  <si>
    <t>365 / Accounts Receivable Turnover Ratio (ART)</t>
  </si>
  <si>
    <t>Total Revenue / Total Assets</t>
  </si>
  <si>
    <t>Gross Profit Margin</t>
  </si>
  <si>
    <t>Return on Equity (ROE)</t>
  </si>
  <si>
    <t>Gross Profit / Total Revenue</t>
  </si>
  <si>
    <t>Profit After Tax (PAT) / Total Equity</t>
  </si>
  <si>
    <t>Operating Profit (EBIT) Margin</t>
  </si>
  <si>
    <t>Return on Asset (ROA)</t>
  </si>
  <si>
    <t>EBIT / Total Revenue</t>
  </si>
  <si>
    <t>Profit After Tax (PAT) / Total Asset</t>
  </si>
  <si>
    <t>Net Profit Margin</t>
  </si>
  <si>
    <t>Return on Captial Employed (ROCE)</t>
  </si>
  <si>
    <t>Profit After Tax (PAT) / Total Revenue</t>
  </si>
  <si>
    <t>EBIT / (Total Equity+Total Liabilities)</t>
  </si>
  <si>
    <t>Asset to Equity Multiplier (AEM)</t>
  </si>
  <si>
    <t>Total Assets / Total Equity</t>
  </si>
  <si>
    <t>Debt-to-Equity Ratio</t>
  </si>
  <si>
    <t>Total Liabilities / Total Equity</t>
  </si>
  <si>
    <t>Interest Coverage Ratio (ICR)</t>
  </si>
  <si>
    <t>EBIT / Interest</t>
  </si>
  <si>
    <t xml:space="preserve">Earnings Per Share (EPS) </t>
  </si>
  <si>
    <t>Enterprise Value-to-EBITDA (EV/EBITDA)</t>
  </si>
  <si>
    <t>Profit After Tax (PAT) / Shares Outstanding</t>
  </si>
  <si>
    <t>Market Cap+Debt−Cash / EBIT+Depreciation</t>
  </si>
  <si>
    <t>Price-to-Earnings (P/E) Ratio</t>
  </si>
  <si>
    <t>Shares Outstanding (in crore)</t>
  </si>
  <si>
    <t>Market Price / EPS</t>
  </si>
  <si>
    <t>Current Market Price</t>
  </si>
  <si>
    <t>Price-to-Sales (P/S) Ratio</t>
  </si>
  <si>
    <t>Market Capitalization / Total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</si>
</sst>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mmmm d, yyyy"/>
  </numFmts>
  <fonts count="13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b/>
      <color theme="1"/>
      <name val="Arial"/>
    </font>
    <font>
      <sz val="10.0"/>
      <color theme="1"/>
      <name val="Arial"/>
    </font>
    <font>
      <b/>
      <color rgb="FFFFFFFF"/>
      <name val="Arial"/>
    </font>
    <font>
      <sz val="10.0"/>
      <color rgb="FF000000"/>
      <name val="Arial"/>
    </font>
    <font>
      <b/>
      <sz val="10.0"/>
      <color theme="1"/>
      <name val="Arial"/>
    </font>
    <font>
      <b/>
      <color theme="1"/>
      <name val="Aptos Narrow"/>
    </font>
    <font>
      <b/>
      <sz val="10.0"/>
      <color theme="1"/>
      <name val="Aptos Narrow"/>
    </font>
    <font>
      <sz val="11.0"/>
      <color theme="1"/>
      <name val="Arial"/>
    </font>
    <font>
      <b/>
      <sz val="11.0"/>
      <color rgb="FFFFFF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E8E8E8"/>
        <bgColor rgb="FFE8E8E8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11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top style="thin">
        <color rgb="FFFFFFFF"/>
      </top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ill="1" applyFont="1">
      <alignment vertical="center"/>
    </xf>
    <xf borderId="4" fillId="3" fontId="4" numFmtId="0" xfId="0" applyAlignment="1" applyBorder="1" applyFont="1">
      <alignment horizontal="center" vertical="center"/>
    </xf>
    <xf borderId="4" fillId="3" fontId="4" numFmtId="49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vertical="center"/>
    </xf>
    <xf borderId="5" fillId="4" fontId="4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vertical="bottom"/>
    </xf>
    <xf borderId="4" fillId="0" fontId="5" numFmtId="164" xfId="0" applyBorder="1" applyFont="1" applyNumberFormat="1"/>
    <xf borderId="0" fillId="0" fontId="5" numFmtId="164" xfId="0" applyFont="1" applyNumberFormat="1"/>
    <xf borderId="4" fillId="5" fontId="6" numFmtId="0" xfId="0" applyAlignment="1" applyBorder="1" applyFill="1" applyFont="1">
      <alignment vertical="bottom"/>
    </xf>
    <xf borderId="4" fillId="5" fontId="6" numFmtId="164" xfId="0" applyAlignment="1" applyBorder="1" applyFont="1" applyNumberFormat="1">
      <alignment horizontal="right" vertical="bottom"/>
    </xf>
    <xf borderId="6" fillId="0" fontId="3" numFmtId="0" xfId="0" applyBorder="1" applyFont="1"/>
    <xf borderId="4" fillId="0" fontId="7" numFmtId="164" xfId="0" applyAlignment="1" applyBorder="1" applyFont="1" applyNumberFormat="1">
      <alignment horizontal="right" shrinkToFit="1" vertical="top" wrapText="0"/>
    </xf>
    <xf borderId="4" fillId="0" fontId="1" numFmtId="10" xfId="0" applyAlignment="1" applyBorder="1" applyFont="1" applyNumberFormat="1">
      <alignment horizontal="right" vertical="bottom"/>
    </xf>
    <xf borderId="7" fillId="0" fontId="3" numFmtId="0" xfId="0" applyBorder="1" applyFont="1"/>
    <xf borderId="4" fillId="6" fontId="4" numFmtId="0" xfId="0" applyAlignment="1" applyBorder="1" applyFill="1" applyFont="1">
      <alignment vertical="bottom"/>
    </xf>
    <xf borderId="4" fillId="6" fontId="8" numFmtId="164" xfId="0" applyAlignment="1" applyBorder="1" applyFont="1" applyNumberFormat="1">
      <alignment horizontal="right" vertical="bottom"/>
    </xf>
    <xf borderId="4" fillId="7" fontId="4" numFmtId="0" xfId="0" applyAlignment="1" applyBorder="1" applyFill="1" applyFont="1">
      <alignment vertical="bottom"/>
    </xf>
    <xf borderId="4" fillId="7" fontId="4" numFmtId="10" xfId="0" applyAlignment="1" applyBorder="1" applyFont="1" applyNumberFormat="1">
      <alignment horizontal="right" vertical="bottom"/>
    </xf>
    <xf borderId="4" fillId="8" fontId="4" numFmtId="0" xfId="0" applyAlignment="1" applyBorder="1" applyFill="1" applyFont="1">
      <alignment vertical="bottom"/>
    </xf>
    <xf borderId="4" fillId="8" fontId="4" numFmtId="10" xfId="0" applyAlignment="1" applyBorder="1" applyFont="1" applyNumberFormat="1">
      <alignment horizontal="right" vertical="bottom"/>
    </xf>
    <xf borderId="4" fillId="9" fontId="4" numFmtId="0" xfId="0" applyAlignment="1" applyBorder="1" applyFill="1" applyFont="1">
      <alignment horizontal="center" vertical="center"/>
    </xf>
    <xf borderId="4" fillId="10" fontId="4" numFmtId="0" xfId="0" applyAlignment="1" applyBorder="1" applyFill="1" applyFont="1">
      <alignment vertical="bottom"/>
    </xf>
    <xf borderId="4" fillId="10" fontId="8" numFmtId="164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vertical="center"/>
    </xf>
    <xf borderId="4" fillId="0" fontId="5" numFmtId="164" xfId="0" applyAlignment="1" applyBorder="1" applyFont="1" applyNumberFormat="1">
      <alignment vertical="bottom"/>
    </xf>
    <xf borderId="4" fillId="0" fontId="5" numFmtId="164" xfId="0" applyAlignment="1" applyBorder="1" applyFont="1" applyNumberFormat="1">
      <alignment horizontal="right" vertical="bottom"/>
    </xf>
    <xf borderId="4" fillId="0" fontId="4" numFmtId="10" xfId="0" applyAlignment="1" applyBorder="1" applyFont="1" applyNumberFormat="1">
      <alignment horizontal="right" vertical="bottom"/>
    </xf>
    <xf borderId="4" fillId="4" fontId="4" numFmtId="0" xfId="0" applyAlignment="1" applyBorder="1" applyFont="1">
      <alignment horizontal="center" vertical="center"/>
    </xf>
    <xf borderId="0" fillId="0" fontId="1" numFmtId="0" xfId="0" applyFont="1"/>
    <xf borderId="0" fillId="0" fontId="1" numFmtId="164" xfId="0" applyAlignment="1" applyFont="1" applyNumberFormat="1">
      <alignment vertical="bottom"/>
    </xf>
    <xf borderId="8" fillId="0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vertical="center"/>
    </xf>
    <xf borderId="4" fillId="0" fontId="1" numFmtId="165" xfId="0" applyAlignment="1" applyBorder="1" applyFont="1" applyNumberFormat="1">
      <alignment vertical="center"/>
    </xf>
    <xf borderId="9" fillId="0" fontId="1" numFmtId="0" xfId="0" applyAlignment="1" applyBorder="1" applyFont="1">
      <alignment vertical="center"/>
    </xf>
    <xf borderId="1" fillId="11" fontId="4" numFmtId="0" xfId="0" applyAlignment="1" applyBorder="1" applyFill="1" applyFont="1">
      <alignment horizontal="center" vertical="center"/>
    </xf>
    <xf borderId="4" fillId="0" fontId="1" numFmtId="164" xfId="0" applyAlignment="1" applyBorder="1" applyFont="1" applyNumberFormat="1">
      <alignment vertical="center"/>
    </xf>
    <xf borderId="4" fillId="0" fontId="1" numFmtId="10" xfId="0" applyAlignment="1" applyBorder="1" applyFont="1" applyNumberFormat="1">
      <alignment vertical="center"/>
    </xf>
    <xf borderId="4" fillId="0" fontId="1" numFmtId="164" xfId="0" applyBorder="1" applyFont="1" applyNumberFormat="1"/>
    <xf borderId="4" fillId="0" fontId="1" numFmtId="164" xfId="0" applyAlignment="1" applyBorder="1" applyFont="1" applyNumberFormat="1">
      <alignment horizontal="right" vertical="center"/>
    </xf>
    <xf borderId="4" fillId="0" fontId="1" numFmtId="10" xfId="0" applyAlignment="1" applyBorder="1" applyFont="1" applyNumberFormat="1">
      <alignment horizontal="right" vertical="center"/>
    </xf>
    <xf borderId="4" fillId="6" fontId="4" numFmtId="0" xfId="0" applyAlignment="1" applyBorder="1" applyFont="1">
      <alignment vertical="center"/>
    </xf>
    <xf borderId="4" fillId="6" fontId="4" numFmtId="164" xfId="0" applyAlignment="1" applyBorder="1" applyFont="1" applyNumberFormat="1">
      <alignment horizontal="right" vertical="center"/>
    </xf>
    <xf borderId="4" fillId="6" fontId="1" numFmtId="10" xfId="0" applyAlignment="1" applyBorder="1" applyFont="1" applyNumberFormat="1">
      <alignment horizontal="right" vertical="center"/>
    </xf>
    <xf borderId="4" fillId="10" fontId="4" numFmtId="0" xfId="0" applyAlignment="1" applyBorder="1" applyFont="1">
      <alignment vertical="center"/>
    </xf>
    <xf borderId="4" fillId="10" fontId="4" numFmtId="164" xfId="0" applyAlignment="1" applyBorder="1" applyFont="1" applyNumberFormat="1">
      <alignment horizontal="right" vertical="center"/>
    </xf>
    <xf borderId="4" fillId="10" fontId="1" numFmtId="10" xfId="0" applyAlignment="1" applyBorder="1" applyFont="1" applyNumberFormat="1">
      <alignment horizontal="right" vertical="center"/>
    </xf>
    <xf borderId="1" fillId="7" fontId="4" numFmtId="0" xfId="0" applyAlignment="1" applyBorder="1" applyFont="1">
      <alignment horizontal="center" vertical="center"/>
    </xf>
    <xf borderId="4" fillId="7" fontId="4" numFmtId="164" xfId="0" applyAlignment="1" applyBorder="1" applyFont="1" applyNumberFormat="1">
      <alignment horizontal="right" vertical="center"/>
    </xf>
    <xf borderId="4" fillId="7" fontId="4" numFmtId="10" xfId="0" applyAlignment="1" applyBorder="1" applyFont="1" applyNumberFormat="1">
      <alignment horizontal="right" vertical="center"/>
    </xf>
    <xf borderId="4" fillId="12" fontId="4" numFmtId="0" xfId="0" applyAlignment="1" applyBorder="1" applyFill="1" applyFont="1">
      <alignment horizontal="center" vertical="center"/>
    </xf>
    <xf borderId="4" fillId="12" fontId="1" numFmtId="0" xfId="0" applyAlignment="1" applyBorder="1" applyFont="1">
      <alignment vertical="center"/>
    </xf>
    <xf borderId="4" fillId="12" fontId="4" numFmtId="164" xfId="0" applyAlignment="1" applyBorder="1" applyFont="1" applyNumberFormat="1">
      <alignment horizontal="right" vertical="center"/>
    </xf>
    <xf borderId="4" fillId="12" fontId="4" numFmtId="10" xfId="0" applyAlignment="1" applyBorder="1" applyFont="1" applyNumberFormat="1">
      <alignment horizontal="right" vertical="center"/>
    </xf>
    <xf borderId="4" fillId="6" fontId="1" numFmtId="164" xfId="0" applyBorder="1" applyFont="1" applyNumberFormat="1"/>
    <xf borderId="4" fillId="7" fontId="1" numFmtId="10" xfId="0" applyAlignment="1" applyBorder="1" applyFont="1" applyNumberFormat="1">
      <alignment horizontal="right" vertical="center"/>
    </xf>
    <xf borderId="10" fillId="0" fontId="1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1" fillId="2" fontId="2" numFmtId="0" xfId="0" applyAlignment="1" applyBorder="1" applyFont="1">
      <alignment horizontal="center"/>
    </xf>
    <xf borderId="4" fillId="3" fontId="4" numFmtId="0" xfId="0" applyBorder="1" applyFont="1"/>
    <xf borderId="4" fillId="3" fontId="9" numFmtId="49" xfId="0" applyAlignment="1" applyBorder="1" applyFont="1" applyNumberFormat="1">
      <alignment horizontal="center"/>
    </xf>
    <xf borderId="4" fillId="3" fontId="4" numFmtId="49" xfId="0" applyAlignment="1" applyBorder="1" applyFont="1" applyNumberFormat="1">
      <alignment horizontal="center"/>
    </xf>
    <xf borderId="4" fillId="0" fontId="4" numFmtId="0" xfId="0" applyAlignment="1" applyBorder="1" applyFont="1">
      <alignment vertical="bottom"/>
    </xf>
    <xf borderId="4" fillId="0" fontId="1" numFmtId="4" xfId="0" applyAlignment="1" applyBorder="1" applyFont="1" applyNumberFormat="1">
      <alignment horizontal="center" vertical="bottom"/>
    </xf>
    <xf borderId="4" fillId="0" fontId="9" numFmtId="0" xfId="0" applyAlignment="1" applyBorder="1" applyFont="1">
      <alignment vertical="bottom"/>
    </xf>
    <xf borderId="4" fillId="3" fontId="9" numFmtId="0" xfId="0" applyBorder="1" applyFont="1"/>
    <xf borderId="0" fillId="0" fontId="1" numFmtId="0" xfId="0" applyAlignment="1" applyFont="1">
      <alignment vertical="top"/>
    </xf>
    <xf borderId="4" fillId="0" fontId="4" numFmtId="0" xfId="0" applyAlignment="1" applyBorder="1" applyFont="1">
      <alignment vertical="top"/>
    </xf>
    <xf borderId="4" fillId="0" fontId="1" numFmtId="4" xfId="0" applyAlignment="1" applyBorder="1" applyFont="1" applyNumberFormat="1">
      <alignment horizontal="center" vertical="top"/>
    </xf>
    <xf borderId="0" fillId="0" fontId="5" numFmtId="0" xfId="0" applyFont="1"/>
    <xf borderId="1" fillId="2" fontId="2" numFmtId="0" xfId="0" applyAlignment="1" applyBorder="1" applyFont="1">
      <alignment horizontal="center" vertical="bottom"/>
    </xf>
    <xf borderId="4" fillId="3" fontId="8" numFmtId="0" xfId="0" applyAlignment="1" applyBorder="1" applyFont="1">
      <alignment vertical="bottom"/>
    </xf>
    <xf borderId="4" fillId="3" fontId="8" numFmtId="49" xfId="0" applyAlignment="1" applyBorder="1" applyFont="1" applyNumberFormat="1">
      <alignment horizontal="center" vertical="bottom"/>
    </xf>
    <xf borderId="4" fillId="0" fontId="4" numFmtId="0" xfId="0" applyBorder="1" applyFont="1"/>
    <xf borderId="4" fillId="0" fontId="1" numFmtId="4" xfId="0" applyAlignment="1" applyBorder="1" applyFont="1" applyNumberFormat="1">
      <alignment horizontal="right"/>
    </xf>
    <xf borderId="4" fillId="0" fontId="8" numFmtId="0" xfId="0" applyAlignment="1" applyBorder="1" applyFont="1">
      <alignment vertical="bottom"/>
    </xf>
    <xf borderId="4" fillId="0" fontId="5" numFmtId="4" xfId="0" applyAlignment="1" applyBorder="1" applyFont="1" applyNumberFormat="1">
      <alignment horizontal="center" vertical="bottom"/>
    </xf>
    <xf borderId="4" fillId="13" fontId="4" numFmtId="0" xfId="0" applyBorder="1" applyFill="1" applyFont="1"/>
    <xf borderId="1" fillId="13" fontId="4" numFmtId="4" xfId="0" applyAlignment="1" applyBorder="1" applyFont="1" applyNumberFormat="1">
      <alignment horizontal="right"/>
    </xf>
    <xf borderId="0" fillId="0" fontId="4" numFmtId="0" xfId="0" applyFont="1"/>
    <xf borderId="0" fillId="0" fontId="1" numFmtId="4" xfId="0" applyAlignment="1" applyFont="1" applyNumberFormat="1">
      <alignment horizontal="right"/>
    </xf>
    <xf borderId="0" fillId="0" fontId="8" numFmtId="0" xfId="0" applyAlignment="1" applyFont="1">
      <alignment vertical="bottom"/>
    </xf>
    <xf borderId="0" fillId="0" fontId="5" numFmtId="4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4" fillId="3" fontId="8" numFmtId="0" xfId="0" applyBorder="1" applyFont="1"/>
    <xf borderId="4" fillId="3" fontId="8" numFmtId="49" xfId="0" applyAlignment="1" applyBorder="1" applyFont="1" applyNumberFormat="1">
      <alignment horizontal="center"/>
    </xf>
    <xf borderId="4" fillId="3" fontId="10" numFmtId="0" xfId="0" applyAlignment="1" applyBorder="1" applyFont="1">
      <alignment vertical="bottom"/>
    </xf>
    <xf borderId="4" fillId="3" fontId="10" numFmtId="0" xfId="0" applyBorder="1" applyFont="1"/>
    <xf borderId="4" fillId="0" fontId="8" numFmtId="0" xfId="0" applyBorder="1" applyFont="1"/>
    <xf borderId="4" fillId="0" fontId="5" numFmtId="4" xfId="0" applyAlignment="1" applyBorder="1" applyFont="1" applyNumberFormat="1">
      <alignment horizontal="right"/>
    </xf>
    <xf borderId="4" fillId="13" fontId="8" numFmtId="0" xfId="0" applyBorder="1" applyFont="1"/>
    <xf borderId="1" fillId="13" fontId="8" numFmtId="4" xfId="0" applyAlignment="1" applyBorder="1" applyFont="1" applyNumberFormat="1">
      <alignment horizontal="right"/>
    </xf>
    <xf borderId="0" fillId="0" fontId="11" numFmtId="0" xfId="0" applyFont="1"/>
    <xf borderId="0" fillId="0" fontId="8" numFmtId="0" xfId="0" applyAlignment="1" applyFont="1">
      <alignment horizontal="center"/>
    </xf>
    <xf borderId="0" fillId="0" fontId="8" numFmtId="0" xfId="0" applyFont="1"/>
    <xf borderId="0" fillId="0" fontId="5" numFmtId="4" xfId="0" applyAlignment="1" applyFont="1" applyNumberFormat="1">
      <alignment horizontal="right"/>
    </xf>
    <xf borderId="1" fillId="5" fontId="12" numFmtId="0" xfId="0" applyAlignment="1" applyBorder="1" applyFont="1">
      <alignment horizontal="center" vertical="bottom"/>
    </xf>
    <xf borderId="4" fillId="8" fontId="8" numFmtId="0" xfId="0" applyBorder="1" applyFont="1"/>
    <xf borderId="4" fillId="8" fontId="8" numFmtId="49" xfId="0" applyAlignment="1" applyBorder="1" applyFont="1" applyNumberFormat="1">
      <alignment horizontal="center"/>
    </xf>
    <xf borderId="4" fillId="0" fontId="1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horizontal="right" vertical="bottom"/>
    </xf>
    <xf borderId="4" fillId="0" fontId="5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5"/>
    <col customWidth="1" min="3" max="3" width="62.63"/>
    <col customWidth="1" min="4" max="6" width="12.63"/>
    <col customWidth="1" min="9" max="9" width="6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5.75" customHeight="1">
      <c r="A3" s="1"/>
      <c r="B3" s="2" t="s">
        <v>0</v>
      </c>
      <c r="C3" s="3"/>
      <c r="D3" s="3"/>
      <c r="E3" s="3"/>
      <c r="F3" s="3"/>
      <c r="G3" s="4"/>
      <c r="H3" s="1"/>
      <c r="I3" s="2" t="s">
        <v>1</v>
      </c>
      <c r="J3" s="3"/>
      <c r="K3" s="3"/>
      <c r="L3" s="3"/>
      <c r="M3" s="4"/>
    </row>
    <row r="4" ht="15.75" customHeight="1">
      <c r="A4" s="1"/>
      <c r="B4" s="5"/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1"/>
      <c r="I4" s="8" t="s">
        <v>2</v>
      </c>
      <c r="J4" s="7" t="s">
        <v>3</v>
      </c>
      <c r="K4" s="7" t="s">
        <v>4</v>
      </c>
      <c r="L4" s="7" t="s">
        <v>5</v>
      </c>
      <c r="M4" s="7" t="s">
        <v>6</v>
      </c>
    </row>
    <row r="5" ht="15.75" customHeight="1">
      <c r="A5" s="1"/>
      <c r="B5" s="9" t="s">
        <v>7</v>
      </c>
      <c r="C5" s="10" t="s">
        <v>8</v>
      </c>
      <c r="D5" s="11">
        <v>26780.0</v>
      </c>
      <c r="E5" s="11">
        <v>25389.0</v>
      </c>
      <c r="F5" s="11">
        <v>27578.0</v>
      </c>
      <c r="G5" s="12">
        <v>30773.0</v>
      </c>
      <c r="H5" s="1"/>
      <c r="I5" s="13" t="s">
        <v>9</v>
      </c>
      <c r="J5" s="14">
        <v>27206.0</v>
      </c>
      <c r="K5" s="14">
        <v>25724.0</v>
      </c>
      <c r="L5" s="14">
        <v>27652.0</v>
      </c>
      <c r="M5" s="14">
        <v>30807.0</v>
      </c>
    </row>
    <row r="6" ht="15.75" customHeight="1">
      <c r="A6" s="1"/>
      <c r="B6" s="15"/>
      <c r="C6" s="10" t="s">
        <v>10</v>
      </c>
      <c r="D6" s="11">
        <v>426.0</v>
      </c>
      <c r="E6" s="11">
        <v>335.0</v>
      </c>
      <c r="F6" s="11">
        <v>74.0</v>
      </c>
      <c r="G6" s="16">
        <v>34.0</v>
      </c>
      <c r="H6" s="1"/>
      <c r="I6" s="10" t="s">
        <v>11</v>
      </c>
      <c r="J6" s="17">
        <f t="shared" ref="J6:M6" si="1">D8/J5</f>
        <v>0.2000661619</v>
      </c>
      <c r="K6" s="17">
        <f t="shared" si="1"/>
        <v>0.204245063</v>
      </c>
      <c r="L6" s="17">
        <f t="shared" si="1"/>
        <v>0.1930059309</v>
      </c>
      <c r="M6" s="17">
        <f t="shared" si="1"/>
        <v>0.1554516831</v>
      </c>
    </row>
    <row r="7" ht="15.75" customHeight="1">
      <c r="A7" s="1"/>
      <c r="B7" s="18"/>
      <c r="C7" s="19" t="s">
        <v>9</v>
      </c>
      <c r="D7" s="20">
        <f t="shared" ref="D7:G7" si="2">SUM(D5:D6)</f>
        <v>27206</v>
      </c>
      <c r="E7" s="20">
        <f t="shared" si="2"/>
        <v>25724</v>
      </c>
      <c r="F7" s="20">
        <f t="shared" si="2"/>
        <v>27652</v>
      </c>
      <c r="G7" s="20">
        <f t="shared" si="2"/>
        <v>30807</v>
      </c>
      <c r="H7" s="1"/>
      <c r="I7" s="10" t="s">
        <v>12</v>
      </c>
      <c r="J7" s="17">
        <f t="shared" ref="J7:M7" si="3">D9/J5</f>
        <v>0.03175770051</v>
      </c>
      <c r="K7" s="17">
        <f t="shared" si="3"/>
        <v>0.02624008708</v>
      </c>
      <c r="L7" s="17">
        <f t="shared" si="3"/>
        <v>0.03124547953</v>
      </c>
      <c r="M7" s="17">
        <f t="shared" si="3"/>
        <v>0.01872950953</v>
      </c>
    </row>
    <row r="8" ht="15.75" customHeight="1">
      <c r="A8" s="1"/>
      <c r="B8" s="9" t="s">
        <v>13</v>
      </c>
      <c r="C8" s="10" t="s">
        <v>11</v>
      </c>
      <c r="D8" s="11">
        <v>5443.0</v>
      </c>
      <c r="E8" s="11">
        <v>5254.0</v>
      </c>
      <c r="F8" s="11">
        <v>5337.0</v>
      </c>
      <c r="G8" s="16">
        <v>4789.0</v>
      </c>
      <c r="H8" s="1"/>
      <c r="I8" s="21" t="s">
        <v>14</v>
      </c>
      <c r="J8" s="22">
        <f t="shared" ref="J8:M8" si="4">D12/J5</f>
        <v>0.7940895391</v>
      </c>
      <c r="K8" s="22">
        <f t="shared" si="4"/>
        <v>0.8064453429</v>
      </c>
      <c r="L8" s="22">
        <f t="shared" si="4"/>
        <v>0.8417474324</v>
      </c>
      <c r="M8" s="22">
        <f t="shared" si="4"/>
        <v>0.8644788522</v>
      </c>
    </row>
    <row r="9" ht="15.75" customHeight="1">
      <c r="A9" s="1"/>
      <c r="B9" s="15"/>
      <c r="C9" s="10" t="s">
        <v>12</v>
      </c>
      <c r="D9" s="11">
        <v>864.0</v>
      </c>
      <c r="E9" s="11">
        <v>675.0</v>
      </c>
      <c r="F9" s="11">
        <v>864.0</v>
      </c>
      <c r="G9" s="16">
        <v>577.0</v>
      </c>
      <c r="H9" s="1"/>
      <c r="I9" s="23" t="s">
        <v>15</v>
      </c>
      <c r="J9" s="24">
        <f t="shared" ref="J9:M9" si="5">D13/J5</f>
        <v>0.2059104609</v>
      </c>
      <c r="K9" s="24">
        <f t="shared" si="5"/>
        <v>0.1935546571</v>
      </c>
      <c r="L9" s="24">
        <f t="shared" si="5"/>
        <v>0.1582525676</v>
      </c>
      <c r="M9" s="24">
        <f t="shared" si="5"/>
        <v>0.1355211478</v>
      </c>
    </row>
    <row r="10" ht="15.75" customHeight="1">
      <c r="A10" s="1"/>
      <c r="B10" s="15"/>
      <c r="C10" s="10" t="s">
        <v>16</v>
      </c>
      <c r="D10" s="11">
        <v>90.0</v>
      </c>
      <c r="E10" s="11">
        <v>119.0</v>
      </c>
      <c r="F10" s="11">
        <v>-129.0</v>
      </c>
      <c r="G10" s="16">
        <v>-83.0</v>
      </c>
      <c r="H10" s="1"/>
      <c r="I10" s="10" t="s">
        <v>17</v>
      </c>
      <c r="J10" s="17">
        <f t="shared" ref="J10:M10" si="6">D15/J5</f>
        <v>0.02223774167</v>
      </c>
      <c r="K10" s="17">
        <f t="shared" si="6"/>
        <v>0.02110869227</v>
      </c>
      <c r="L10" s="17">
        <f t="shared" si="6"/>
        <v>0.02195139592</v>
      </c>
      <c r="M10" s="17">
        <f t="shared" si="6"/>
        <v>0.02109910085</v>
      </c>
    </row>
    <row r="11" ht="15.75" customHeight="1">
      <c r="A11" s="1"/>
      <c r="B11" s="15"/>
      <c r="C11" s="10" t="s">
        <v>18</v>
      </c>
      <c r="D11" s="11">
        <v>15207.0</v>
      </c>
      <c r="E11" s="11">
        <v>14697.0</v>
      </c>
      <c r="F11" s="11">
        <v>17204.0</v>
      </c>
      <c r="G11" s="16">
        <v>21349.0</v>
      </c>
      <c r="H11" s="1"/>
      <c r="I11" s="10" t="s">
        <v>19</v>
      </c>
      <c r="J11" s="17">
        <f t="shared" ref="J11:M11" si="7">D16/J5</f>
        <v>0.0100713078</v>
      </c>
      <c r="K11" s="17">
        <f t="shared" si="7"/>
        <v>0.01026278961</v>
      </c>
      <c r="L11" s="17">
        <f t="shared" si="7"/>
        <v>0.009800376103</v>
      </c>
      <c r="M11" s="17">
        <f t="shared" si="7"/>
        <v>0.009380984841</v>
      </c>
    </row>
    <row r="12" ht="15.75" customHeight="1">
      <c r="A12" s="1"/>
      <c r="B12" s="18"/>
      <c r="C12" s="19" t="s">
        <v>14</v>
      </c>
      <c r="D12" s="20">
        <f t="shared" ref="D12:G12" si="8">SUM(D8:D11)</f>
        <v>21604</v>
      </c>
      <c r="E12" s="20">
        <f t="shared" si="8"/>
        <v>20745</v>
      </c>
      <c r="F12" s="20">
        <f t="shared" si="8"/>
        <v>23276</v>
      </c>
      <c r="G12" s="20">
        <f t="shared" si="8"/>
        <v>26632</v>
      </c>
      <c r="H12" s="1"/>
      <c r="I12" s="10" t="s">
        <v>20</v>
      </c>
      <c r="J12" s="17">
        <f t="shared" ref="J12:M12" si="9">D17/J5</f>
        <v>0.09236933029</v>
      </c>
      <c r="K12" s="17">
        <f t="shared" si="9"/>
        <v>0.09302596797</v>
      </c>
      <c r="L12" s="17">
        <f t="shared" si="9"/>
        <v>0.08230869377</v>
      </c>
      <c r="M12" s="17">
        <f t="shared" si="9"/>
        <v>0.06427110722</v>
      </c>
    </row>
    <row r="13" ht="15.75" customHeight="1">
      <c r="A13" s="1"/>
      <c r="B13" s="25" t="s">
        <v>21</v>
      </c>
      <c r="C13" s="26" t="s">
        <v>15</v>
      </c>
      <c r="D13" s="27">
        <f t="shared" ref="D13:G13" si="10">D7-D12</f>
        <v>5602</v>
      </c>
      <c r="E13" s="27">
        <f t="shared" si="10"/>
        <v>4979</v>
      </c>
      <c r="F13" s="27">
        <f t="shared" si="10"/>
        <v>4376</v>
      </c>
      <c r="G13" s="27">
        <f t="shared" si="10"/>
        <v>4175</v>
      </c>
      <c r="H13" s="1"/>
      <c r="I13" s="21" t="s">
        <v>22</v>
      </c>
      <c r="J13" s="22">
        <f t="shared" ref="J13:M13" si="11">D18/J5</f>
        <v>0.1246783798</v>
      </c>
      <c r="K13" s="22">
        <f t="shared" si="11"/>
        <v>0.1243974499</v>
      </c>
      <c r="L13" s="22">
        <f t="shared" si="11"/>
        <v>0.1140604658</v>
      </c>
      <c r="M13" s="22">
        <f t="shared" si="11"/>
        <v>0.09475119291</v>
      </c>
    </row>
    <row r="14" ht="15.75" customHeight="1">
      <c r="A14" s="1"/>
      <c r="B14" s="28"/>
      <c r="C14" s="10"/>
      <c r="D14" s="29"/>
      <c r="E14" s="29"/>
      <c r="F14" s="29"/>
      <c r="G14" s="29"/>
      <c r="H14" s="1"/>
      <c r="I14" s="23" t="s">
        <v>23</v>
      </c>
      <c r="J14" s="24">
        <f t="shared" ref="J14:M14" si="12">D19/J5</f>
        <v>0.08123208116</v>
      </c>
      <c r="K14" s="24">
        <f t="shared" si="12"/>
        <v>0.06915720728</v>
      </c>
      <c r="L14" s="24">
        <f t="shared" si="12"/>
        <v>0.04419210184</v>
      </c>
      <c r="M14" s="24">
        <f t="shared" si="12"/>
        <v>0.04076995488</v>
      </c>
    </row>
    <row r="15" ht="15.75" customHeight="1">
      <c r="A15" s="1"/>
      <c r="B15" s="9" t="s">
        <v>24</v>
      </c>
      <c r="C15" s="10" t="s">
        <v>17</v>
      </c>
      <c r="D15" s="11">
        <v>605.0</v>
      </c>
      <c r="E15" s="11">
        <v>543.0</v>
      </c>
      <c r="F15" s="11">
        <v>607.0</v>
      </c>
      <c r="G15" s="16">
        <v>650.0</v>
      </c>
      <c r="H15" s="1"/>
      <c r="I15" s="10" t="s">
        <v>25</v>
      </c>
      <c r="J15" s="17">
        <f t="shared" ref="J15:M15" si="13">D21/J5</f>
        <v>0.003271337205</v>
      </c>
      <c r="K15" s="17">
        <f t="shared" si="13"/>
        <v>0.002954439434</v>
      </c>
      <c r="L15" s="17">
        <f t="shared" si="13"/>
        <v>0.003761029944</v>
      </c>
      <c r="M15" s="17">
        <f t="shared" si="13"/>
        <v>0.002856493654</v>
      </c>
    </row>
    <row r="16" ht="15.75" customHeight="1">
      <c r="A16" s="1"/>
      <c r="B16" s="15"/>
      <c r="C16" s="10" t="s">
        <v>19</v>
      </c>
      <c r="D16" s="11">
        <v>274.0</v>
      </c>
      <c r="E16" s="11">
        <v>264.0</v>
      </c>
      <c r="F16" s="11">
        <v>271.0</v>
      </c>
      <c r="G16" s="16">
        <v>289.0</v>
      </c>
      <c r="H16" s="1"/>
      <c r="I16" s="10" t="s">
        <v>26</v>
      </c>
      <c r="J16" s="17">
        <f t="shared" ref="J16:M16" si="14">D22/J5</f>
        <v>-0.002389178858</v>
      </c>
      <c r="K16" s="17">
        <f t="shared" si="14"/>
        <v>-0.0006608614523</v>
      </c>
      <c r="L16" s="17">
        <f t="shared" si="14"/>
        <v>0.006184001157</v>
      </c>
      <c r="M16" s="17">
        <f t="shared" si="14"/>
        <v>-0.005063784205</v>
      </c>
    </row>
    <row r="17" ht="15.75" customHeight="1">
      <c r="A17" s="1"/>
      <c r="B17" s="15"/>
      <c r="C17" s="10" t="s">
        <v>20</v>
      </c>
      <c r="D17" s="30">
        <v>2513.0</v>
      </c>
      <c r="E17" s="30">
        <v>2393.0</v>
      </c>
      <c r="F17" s="30">
        <v>2276.0</v>
      </c>
      <c r="G17" s="30">
        <v>1980.0</v>
      </c>
      <c r="H17" s="1"/>
      <c r="I17" s="23" t="s">
        <v>27</v>
      </c>
      <c r="J17" s="24">
        <f t="shared" ref="J17:M17" si="15">D23/J5</f>
        <v>0.0755715651</v>
      </c>
      <c r="K17" s="24">
        <f t="shared" si="15"/>
        <v>0.06554190639</v>
      </c>
      <c r="L17" s="24">
        <f t="shared" si="15"/>
        <v>0.04661507305</v>
      </c>
      <c r="M17" s="24">
        <f t="shared" si="15"/>
        <v>0.03284967702</v>
      </c>
    </row>
    <row r="18" ht="15.75" customHeight="1">
      <c r="A18" s="1"/>
      <c r="B18" s="18"/>
      <c r="C18" s="19" t="s">
        <v>22</v>
      </c>
      <c r="D18" s="20">
        <f t="shared" ref="D18:G18" si="16">SUM(D15:D17)</f>
        <v>3392</v>
      </c>
      <c r="E18" s="20">
        <f t="shared" si="16"/>
        <v>3200</v>
      </c>
      <c r="F18" s="20">
        <f t="shared" si="16"/>
        <v>3154</v>
      </c>
      <c r="G18" s="20">
        <f t="shared" si="16"/>
        <v>2919</v>
      </c>
      <c r="H18" s="1"/>
      <c r="I18" s="10" t="s">
        <v>28</v>
      </c>
      <c r="J18" s="31">
        <f t="shared" ref="J18:M18" si="17">D25/J5</f>
        <v>0.01793721973</v>
      </c>
      <c r="K18" s="31">
        <f t="shared" si="17"/>
        <v>0.01527756181</v>
      </c>
      <c r="L18" s="31">
        <f t="shared" si="17"/>
        <v>0.009113264863</v>
      </c>
      <c r="M18" s="31">
        <f t="shared" si="17"/>
        <v>0.004836563119</v>
      </c>
    </row>
    <row r="19" ht="15.75" customHeight="1">
      <c r="A19" s="1"/>
      <c r="B19" s="25" t="s">
        <v>29</v>
      </c>
      <c r="C19" s="26" t="s">
        <v>23</v>
      </c>
      <c r="D19" s="27">
        <f t="shared" ref="D19:G19" si="18">D13-D18</f>
        <v>2210</v>
      </c>
      <c r="E19" s="27">
        <f t="shared" si="18"/>
        <v>1779</v>
      </c>
      <c r="F19" s="27">
        <f t="shared" si="18"/>
        <v>1222</v>
      </c>
      <c r="G19" s="27">
        <f t="shared" si="18"/>
        <v>1256</v>
      </c>
      <c r="H19" s="1"/>
      <c r="I19" s="10" t="s">
        <v>30</v>
      </c>
      <c r="J19" s="31">
        <f t="shared" ref="J19:M19" si="19">D26/J5</f>
        <v>0.0003675659781</v>
      </c>
      <c r="K19" s="31">
        <f t="shared" si="19"/>
        <v>-0.0007386098585</v>
      </c>
      <c r="L19" s="31">
        <f t="shared" si="19"/>
        <v>-0.0005424562419</v>
      </c>
      <c r="M19" s="31">
        <f t="shared" si="19"/>
        <v>0.0003895218619</v>
      </c>
    </row>
    <row r="20" ht="15.75" customHeight="1">
      <c r="A20" s="1"/>
      <c r="B20" s="28"/>
      <c r="C20" s="10"/>
      <c r="D20" s="29"/>
      <c r="E20" s="29"/>
      <c r="F20" s="29"/>
      <c r="G20" s="29"/>
      <c r="H20" s="1"/>
      <c r="I20" s="21" t="s">
        <v>31</v>
      </c>
      <c r="J20" s="22">
        <f t="shared" ref="J20:M20" si="20">D27/J5</f>
        <v>0.01830478571</v>
      </c>
      <c r="K20" s="22">
        <f t="shared" si="20"/>
        <v>0.01453895195</v>
      </c>
      <c r="L20" s="22">
        <f t="shared" si="20"/>
        <v>0.008570808621</v>
      </c>
      <c r="M20" s="22">
        <f t="shared" si="20"/>
        <v>0.005226084981</v>
      </c>
    </row>
    <row r="21" ht="15.75" customHeight="1">
      <c r="A21" s="1"/>
      <c r="B21" s="32" t="s">
        <v>32</v>
      </c>
      <c r="C21" s="10" t="s">
        <v>25</v>
      </c>
      <c r="D21" s="11">
        <v>89.0</v>
      </c>
      <c r="E21" s="11">
        <v>76.0</v>
      </c>
      <c r="F21" s="11">
        <v>104.0</v>
      </c>
      <c r="G21" s="16">
        <v>88.0</v>
      </c>
      <c r="H21" s="1"/>
      <c r="I21" s="23" t="s">
        <v>33</v>
      </c>
      <c r="J21" s="24">
        <f t="shared" ref="J21:M21" si="21">D28/J5</f>
        <v>0.05726677939</v>
      </c>
      <c r="K21" s="24">
        <f t="shared" si="21"/>
        <v>0.05100295444</v>
      </c>
      <c r="L21" s="24">
        <f t="shared" si="21"/>
        <v>0.03804426443</v>
      </c>
      <c r="M21" s="24">
        <f t="shared" si="21"/>
        <v>0.02762359204</v>
      </c>
    </row>
    <row r="22" ht="15.75" customHeight="1">
      <c r="A22" s="1"/>
      <c r="B22" s="32" t="s">
        <v>34</v>
      </c>
      <c r="C22" s="33" t="s">
        <v>26</v>
      </c>
      <c r="D22" s="11">
        <v>-65.0</v>
      </c>
      <c r="E22" s="11">
        <v>-17.0</v>
      </c>
      <c r="F22" s="11">
        <v>171.0</v>
      </c>
      <c r="G22" s="30">
        <v>-156.0</v>
      </c>
      <c r="H22" s="1"/>
    </row>
    <row r="23" ht="15.75" customHeight="1">
      <c r="A23" s="1"/>
      <c r="B23" s="25" t="s">
        <v>35</v>
      </c>
      <c r="C23" s="26" t="s">
        <v>27</v>
      </c>
      <c r="D23" s="27">
        <f t="shared" ref="D23:G23" si="22">D19-D21+D22</f>
        <v>2056</v>
      </c>
      <c r="E23" s="27">
        <f t="shared" si="22"/>
        <v>1686</v>
      </c>
      <c r="F23" s="27">
        <f t="shared" si="22"/>
        <v>1289</v>
      </c>
      <c r="G23" s="27">
        <f t="shared" si="22"/>
        <v>1012</v>
      </c>
      <c r="H23" s="1"/>
      <c r="I23" s="1"/>
      <c r="J23" s="1"/>
      <c r="K23" s="1"/>
      <c r="L23" s="1"/>
      <c r="M23" s="1"/>
    </row>
    <row r="24" ht="15.75" customHeight="1">
      <c r="A24" s="1"/>
      <c r="B24" s="28"/>
      <c r="C24" s="10"/>
      <c r="D24" s="29"/>
      <c r="E24" s="29"/>
      <c r="F24" s="29"/>
      <c r="G24" s="29"/>
      <c r="H24" s="1"/>
      <c r="I24" s="1"/>
      <c r="J24" s="1"/>
      <c r="K24" s="1"/>
      <c r="L24" s="1"/>
      <c r="M24" s="1"/>
    </row>
    <row r="25" ht="15.75" customHeight="1">
      <c r="A25" s="1"/>
      <c r="B25" s="9" t="s">
        <v>36</v>
      </c>
      <c r="C25" s="10" t="s">
        <v>28</v>
      </c>
      <c r="D25" s="30">
        <v>488.0</v>
      </c>
      <c r="E25" s="30">
        <v>393.0</v>
      </c>
      <c r="F25" s="30">
        <v>252.0</v>
      </c>
      <c r="G25" s="30">
        <v>149.0</v>
      </c>
      <c r="H25" s="1"/>
      <c r="I25" s="1"/>
      <c r="J25" s="1"/>
      <c r="K25" s="1"/>
      <c r="L25" s="1"/>
      <c r="M25" s="1"/>
    </row>
    <row r="26" ht="15.75" customHeight="1">
      <c r="A26" s="1"/>
      <c r="B26" s="15"/>
      <c r="C26" s="10" t="s">
        <v>30</v>
      </c>
      <c r="D26" s="30">
        <v>10.0</v>
      </c>
      <c r="E26" s="11">
        <v>-19.0</v>
      </c>
      <c r="F26" s="30">
        <v>-15.0</v>
      </c>
      <c r="G26" s="30">
        <v>12.0</v>
      </c>
      <c r="H26" s="1"/>
      <c r="I26" s="1"/>
      <c r="J26" s="1"/>
      <c r="K26" s="1"/>
      <c r="L26" s="1"/>
      <c r="M26" s="1"/>
    </row>
    <row r="27" ht="15.75" customHeight="1">
      <c r="A27" s="1"/>
      <c r="B27" s="18"/>
      <c r="C27" s="19" t="s">
        <v>31</v>
      </c>
      <c r="D27" s="20">
        <f t="shared" ref="D27:G27" si="23">D25+D26</f>
        <v>498</v>
      </c>
      <c r="E27" s="20">
        <f t="shared" si="23"/>
        <v>374</v>
      </c>
      <c r="F27" s="20">
        <f t="shared" si="23"/>
        <v>237</v>
      </c>
      <c r="G27" s="20">
        <f t="shared" si="23"/>
        <v>161</v>
      </c>
      <c r="H27" s="1"/>
      <c r="I27" s="1"/>
      <c r="J27" s="1"/>
      <c r="K27" s="1"/>
      <c r="L27" s="1"/>
      <c r="M27" s="1"/>
    </row>
    <row r="28" ht="15.75" customHeight="1">
      <c r="A28" s="1"/>
      <c r="B28" s="25" t="s">
        <v>37</v>
      </c>
      <c r="C28" s="26" t="s">
        <v>38</v>
      </c>
      <c r="D28" s="27">
        <f t="shared" ref="D28:G28" si="24">D23-D27</f>
        <v>1558</v>
      </c>
      <c r="E28" s="27">
        <f t="shared" si="24"/>
        <v>1312</v>
      </c>
      <c r="F28" s="27">
        <f t="shared" si="24"/>
        <v>1052</v>
      </c>
      <c r="G28" s="27">
        <f t="shared" si="24"/>
        <v>851</v>
      </c>
      <c r="H28" s="1"/>
      <c r="I28" s="1"/>
      <c r="J28" s="1"/>
      <c r="K28" s="1"/>
      <c r="L28" s="1"/>
      <c r="M28" s="1"/>
    </row>
    <row r="29" ht="15.75" customHeight="1">
      <c r="A29" s="1"/>
      <c r="B29" s="1"/>
      <c r="C29" s="1"/>
      <c r="D29" s="34"/>
      <c r="E29" s="34"/>
      <c r="F29" s="34"/>
      <c r="G29" s="34"/>
      <c r="H29" s="1"/>
      <c r="I29" s="1"/>
      <c r="J29" s="1"/>
      <c r="K29" s="1"/>
      <c r="L29" s="1"/>
      <c r="M29" s="1"/>
    </row>
    <row r="30" ht="15.75" customHeight="1">
      <c r="A30" s="1"/>
      <c r="B30" s="1"/>
      <c r="C30" s="1"/>
      <c r="D30" s="34"/>
      <c r="E30" s="34"/>
      <c r="F30" s="34"/>
      <c r="G30" s="34"/>
      <c r="H30" s="1"/>
      <c r="I30" s="1"/>
      <c r="J30" s="1"/>
      <c r="K30" s="1"/>
      <c r="L30" s="1"/>
      <c r="M30" s="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G3"/>
    <mergeCell ref="I3:M3"/>
    <mergeCell ref="B5:B7"/>
    <mergeCell ref="B8:B12"/>
    <mergeCell ref="B15:B18"/>
    <mergeCell ref="B25:B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37.63"/>
    <col customWidth="1" min="4" max="6" width="12.63"/>
    <col customWidth="1" min="9" max="10" width="37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5.75" customHeight="1">
      <c r="A3" s="33"/>
      <c r="B3" s="2" t="s">
        <v>39</v>
      </c>
      <c r="C3" s="3"/>
      <c r="D3" s="3"/>
      <c r="E3" s="3"/>
      <c r="F3" s="3"/>
      <c r="G3" s="4"/>
      <c r="H3" s="35"/>
      <c r="I3" s="36" t="s">
        <v>40</v>
      </c>
      <c r="J3" s="3"/>
      <c r="K3" s="3"/>
      <c r="L3" s="3"/>
      <c r="M3" s="3"/>
      <c r="N3" s="4"/>
      <c r="O3" s="33"/>
    </row>
    <row r="4" ht="15.75" customHeight="1">
      <c r="A4" s="33"/>
      <c r="B4" s="5"/>
      <c r="C4" s="6" t="s">
        <v>41</v>
      </c>
      <c r="D4" s="7" t="s">
        <v>3</v>
      </c>
      <c r="E4" s="7" t="s">
        <v>4</v>
      </c>
      <c r="F4" s="7" t="s">
        <v>5</v>
      </c>
      <c r="G4" s="7" t="s">
        <v>6</v>
      </c>
      <c r="H4" s="35"/>
      <c r="I4" s="5"/>
      <c r="J4" s="6" t="s">
        <v>41</v>
      </c>
      <c r="K4" s="7" t="s">
        <v>3</v>
      </c>
      <c r="L4" s="7" t="s">
        <v>4</v>
      </c>
      <c r="M4" s="7" t="s">
        <v>5</v>
      </c>
      <c r="N4" s="7" t="s">
        <v>6</v>
      </c>
      <c r="O4" s="33"/>
    </row>
    <row r="5" ht="15.75" customHeight="1">
      <c r="A5" s="1"/>
      <c r="B5" s="28"/>
      <c r="C5" s="28"/>
      <c r="D5" s="37"/>
      <c r="E5" s="37"/>
      <c r="F5" s="37"/>
      <c r="G5" s="37"/>
      <c r="H5" s="38"/>
      <c r="I5" s="28"/>
      <c r="J5" s="28"/>
      <c r="K5" s="37"/>
      <c r="L5" s="37"/>
      <c r="M5" s="37"/>
      <c r="N5" s="37"/>
      <c r="O5" s="1"/>
    </row>
    <row r="6" ht="15.75" customHeight="1">
      <c r="A6" s="1"/>
      <c r="B6" s="39" t="s">
        <v>42</v>
      </c>
      <c r="C6" s="3"/>
      <c r="D6" s="3"/>
      <c r="E6" s="3"/>
      <c r="F6" s="3"/>
      <c r="G6" s="4"/>
      <c r="H6" s="38"/>
      <c r="I6" s="39" t="s">
        <v>42</v>
      </c>
      <c r="J6" s="3"/>
      <c r="K6" s="3"/>
      <c r="L6" s="3"/>
      <c r="M6" s="3"/>
      <c r="N6" s="4"/>
      <c r="O6" s="1"/>
    </row>
    <row r="7" ht="15.75" customHeight="1">
      <c r="A7" s="1"/>
      <c r="B7" s="28"/>
      <c r="C7" s="28"/>
      <c r="D7" s="40"/>
      <c r="E7" s="40"/>
      <c r="F7" s="40"/>
      <c r="G7" s="40"/>
      <c r="H7" s="38"/>
      <c r="I7" s="28"/>
      <c r="J7" s="28"/>
      <c r="K7" s="41"/>
      <c r="L7" s="41"/>
      <c r="M7" s="41"/>
      <c r="N7" s="41"/>
      <c r="O7" s="1"/>
    </row>
    <row r="8" ht="15.75" customHeight="1">
      <c r="A8" s="1"/>
      <c r="B8" s="9" t="s">
        <v>43</v>
      </c>
      <c r="C8" s="28" t="s">
        <v>44</v>
      </c>
      <c r="D8" s="42">
        <v>850.0</v>
      </c>
      <c r="E8" s="42">
        <v>844.0</v>
      </c>
      <c r="F8" s="42">
        <v>978.0</v>
      </c>
      <c r="G8" s="43">
        <v>1201.0</v>
      </c>
      <c r="H8" s="38"/>
      <c r="I8" s="9" t="s">
        <v>43</v>
      </c>
      <c r="J8" s="28" t="s">
        <v>44</v>
      </c>
      <c r="K8" s="44">
        <f t="shared" ref="K8:K12" si="1">$D8/$D$22</f>
        <v>0.06683440793</v>
      </c>
      <c r="L8" s="44">
        <f t="shared" ref="L8:L12" si="2">$E8/$E$22</f>
        <v>0.07857009868</v>
      </c>
      <c r="M8" s="44">
        <f t="shared" ref="M8:M12" si="3">$F8/$F$22</f>
        <v>0.1021836799</v>
      </c>
      <c r="N8" s="44">
        <f t="shared" ref="N8:N12" si="4">$G8/$G$22</f>
        <v>0.1376819901</v>
      </c>
      <c r="O8" s="1"/>
    </row>
    <row r="9" ht="15.75" customHeight="1">
      <c r="A9" s="1"/>
      <c r="B9" s="15"/>
      <c r="C9" s="28" t="s">
        <v>45</v>
      </c>
      <c r="D9" s="42">
        <v>24.0</v>
      </c>
      <c r="E9" s="42">
        <v>35.0</v>
      </c>
      <c r="F9" s="42">
        <v>31.0</v>
      </c>
      <c r="G9" s="43">
        <v>25.0</v>
      </c>
      <c r="H9" s="38"/>
      <c r="I9" s="15"/>
      <c r="J9" s="28" t="s">
        <v>46</v>
      </c>
      <c r="K9" s="44">
        <f t="shared" si="1"/>
        <v>0.001887089165</v>
      </c>
      <c r="L9" s="44">
        <f t="shared" si="2"/>
        <v>0.003258238689</v>
      </c>
      <c r="M9" s="44">
        <f t="shared" si="3"/>
        <v>0.003238950998</v>
      </c>
      <c r="N9" s="44">
        <f t="shared" si="4"/>
        <v>0.002865986473</v>
      </c>
      <c r="O9" s="1"/>
    </row>
    <row r="10" ht="15.75" customHeight="1">
      <c r="A10" s="1"/>
      <c r="B10" s="15"/>
      <c r="C10" s="28" t="s">
        <v>47</v>
      </c>
      <c r="D10" s="43">
        <v>958.0</v>
      </c>
      <c r="E10" s="43">
        <v>701.0</v>
      </c>
      <c r="F10" s="42">
        <v>352.0</v>
      </c>
      <c r="G10" s="43">
        <v>365.0</v>
      </c>
      <c r="H10" s="38"/>
      <c r="I10" s="15"/>
      <c r="J10" s="28" t="s">
        <v>48</v>
      </c>
      <c r="K10" s="44">
        <f t="shared" si="1"/>
        <v>0.07532630917</v>
      </c>
      <c r="L10" s="44">
        <f t="shared" si="2"/>
        <v>0.06525786632</v>
      </c>
      <c r="M10" s="44">
        <f t="shared" si="3"/>
        <v>0.03677776617</v>
      </c>
      <c r="N10" s="44">
        <f t="shared" si="4"/>
        <v>0.0418434025</v>
      </c>
      <c r="O10" s="1"/>
    </row>
    <row r="11" ht="15.75" customHeight="1">
      <c r="A11" s="1"/>
      <c r="B11" s="15"/>
      <c r="C11" s="45" t="s">
        <v>49</v>
      </c>
      <c r="D11" s="46">
        <v>2069.0</v>
      </c>
      <c r="E11" s="46">
        <v>2144.0</v>
      </c>
      <c r="F11" s="46">
        <v>1988.0</v>
      </c>
      <c r="G11" s="46">
        <v>1942.0</v>
      </c>
      <c r="H11" s="38"/>
      <c r="I11" s="15"/>
      <c r="J11" s="45" t="s">
        <v>49</v>
      </c>
      <c r="K11" s="47">
        <f t="shared" si="1"/>
        <v>0.1626828118</v>
      </c>
      <c r="L11" s="47">
        <f t="shared" si="2"/>
        <v>0.1995903929</v>
      </c>
      <c r="M11" s="47">
        <f t="shared" si="3"/>
        <v>0.207710793</v>
      </c>
      <c r="N11" s="47">
        <f t="shared" si="4"/>
        <v>0.2226298292</v>
      </c>
      <c r="O11" s="1"/>
    </row>
    <row r="12" ht="15.75" customHeight="1">
      <c r="A12" s="1"/>
      <c r="B12" s="18"/>
      <c r="C12" s="48" t="s">
        <v>50</v>
      </c>
      <c r="D12" s="49">
        <f t="shared" ref="D12:G12" si="5">SUM(D8:D11)</f>
        <v>3901</v>
      </c>
      <c r="E12" s="49">
        <f t="shared" si="5"/>
        <v>3724</v>
      </c>
      <c r="F12" s="49">
        <f t="shared" si="5"/>
        <v>3349</v>
      </c>
      <c r="G12" s="49">
        <f t="shared" si="5"/>
        <v>3533</v>
      </c>
      <c r="H12" s="38"/>
      <c r="I12" s="18"/>
      <c r="J12" s="48" t="s">
        <v>50</v>
      </c>
      <c r="K12" s="50">
        <f t="shared" si="1"/>
        <v>0.306730618</v>
      </c>
      <c r="L12" s="50">
        <f t="shared" si="2"/>
        <v>0.3466765965</v>
      </c>
      <c r="M12" s="50">
        <f t="shared" si="3"/>
        <v>0.3499111901</v>
      </c>
      <c r="N12" s="50">
        <f t="shared" si="4"/>
        <v>0.4050212083</v>
      </c>
      <c r="O12" s="1"/>
    </row>
    <row r="13" ht="15.75" customHeight="1">
      <c r="A13" s="1"/>
      <c r="B13" s="28"/>
      <c r="C13" s="28"/>
      <c r="D13" s="40"/>
      <c r="E13" s="40"/>
      <c r="F13" s="40"/>
      <c r="G13" s="40"/>
      <c r="H13" s="38"/>
      <c r="I13" s="28"/>
      <c r="J13" s="28"/>
      <c r="K13" s="41"/>
      <c r="L13" s="44"/>
      <c r="M13" s="44"/>
      <c r="N13" s="44"/>
      <c r="O13" s="1"/>
    </row>
    <row r="14" ht="15.75" customHeight="1">
      <c r="A14" s="1"/>
      <c r="B14" s="9" t="s">
        <v>51</v>
      </c>
      <c r="C14" s="28" t="s">
        <v>52</v>
      </c>
      <c r="D14" s="42">
        <v>2305.0</v>
      </c>
      <c r="E14" s="42">
        <v>2063.0</v>
      </c>
      <c r="F14" s="43">
        <v>2230.0</v>
      </c>
      <c r="G14" s="43">
        <v>2164.0</v>
      </c>
      <c r="H14" s="38"/>
      <c r="I14" s="9" t="s">
        <v>51</v>
      </c>
      <c r="J14" s="28" t="s">
        <v>52</v>
      </c>
      <c r="K14" s="44">
        <f t="shared" ref="K14:K18" si="6">$D14/$D$22</f>
        <v>0.1812391886</v>
      </c>
      <c r="L14" s="44">
        <f t="shared" ref="L14:L18" si="7">$E14/$E$22</f>
        <v>0.1920498976</v>
      </c>
      <c r="M14" s="44">
        <f t="shared" ref="M14:M18" si="8">$F14/$F$22</f>
        <v>0.2329955073</v>
      </c>
      <c r="N14" s="44">
        <f t="shared" ref="N14:N18" si="9">$G14/$G$22</f>
        <v>0.2480797891</v>
      </c>
      <c r="O14" s="1"/>
    </row>
    <row r="15" ht="15.75" customHeight="1">
      <c r="A15" s="1"/>
      <c r="B15" s="15"/>
      <c r="C15" s="28" t="s">
        <v>53</v>
      </c>
      <c r="D15" s="42">
        <v>3288.0</v>
      </c>
      <c r="E15" s="42">
        <v>2763.0</v>
      </c>
      <c r="F15" s="43">
        <v>2383.0</v>
      </c>
      <c r="G15" s="43">
        <v>2302.0</v>
      </c>
      <c r="H15" s="38"/>
      <c r="I15" s="15"/>
      <c r="J15" s="28" t="s">
        <v>53</v>
      </c>
      <c r="K15" s="44">
        <f t="shared" si="6"/>
        <v>0.2585312156</v>
      </c>
      <c r="L15" s="44">
        <f t="shared" si="7"/>
        <v>0.2572146714</v>
      </c>
      <c r="M15" s="44">
        <f t="shared" si="8"/>
        <v>0.2489812977</v>
      </c>
      <c r="N15" s="44">
        <f t="shared" si="9"/>
        <v>0.2639000344</v>
      </c>
      <c r="O15" s="1"/>
    </row>
    <row r="16" ht="15.75" customHeight="1">
      <c r="A16" s="1"/>
      <c r="B16" s="15"/>
      <c r="C16" s="28" t="s">
        <v>54</v>
      </c>
      <c r="D16" s="42">
        <v>1150.0</v>
      </c>
      <c r="E16" s="42">
        <v>1021.0</v>
      </c>
      <c r="F16" s="43">
        <v>81.0</v>
      </c>
      <c r="G16" s="43">
        <v>27.0</v>
      </c>
      <c r="H16" s="38"/>
      <c r="I16" s="15"/>
      <c r="J16" s="28" t="s">
        <v>54</v>
      </c>
      <c r="K16" s="44">
        <f t="shared" si="6"/>
        <v>0.09042302249</v>
      </c>
      <c r="L16" s="44">
        <f t="shared" si="7"/>
        <v>0.09504747719</v>
      </c>
      <c r="M16" s="44">
        <f t="shared" si="8"/>
        <v>0.00846306551</v>
      </c>
      <c r="N16" s="44">
        <f t="shared" si="9"/>
        <v>0.00309526539</v>
      </c>
      <c r="O16" s="1"/>
    </row>
    <row r="17" ht="15.75" customHeight="1">
      <c r="A17" s="1"/>
      <c r="B17" s="15"/>
      <c r="C17" s="45" t="s">
        <v>49</v>
      </c>
      <c r="D17" s="46">
        <v>2074.0</v>
      </c>
      <c r="E17" s="46">
        <v>1171.0</v>
      </c>
      <c r="F17" s="46">
        <v>1528.0</v>
      </c>
      <c r="G17" s="46">
        <v>697.0</v>
      </c>
      <c r="H17" s="38"/>
      <c r="I17" s="15"/>
      <c r="J17" s="45" t="s">
        <v>49</v>
      </c>
      <c r="K17" s="47">
        <f t="shared" si="6"/>
        <v>0.1630759553</v>
      </c>
      <c r="L17" s="47">
        <f t="shared" si="7"/>
        <v>0.1090113573</v>
      </c>
      <c r="M17" s="47">
        <f t="shared" si="8"/>
        <v>0.1596489395</v>
      </c>
      <c r="N17" s="47">
        <f t="shared" si="9"/>
        <v>0.07990370285</v>
      </c>
      <c r="O17" s="1"/>
    </row>
    <row r="18" ht="15.75" customHeight="1">
      <c r="A18" s="1"/>
      <c r="B18" s="18"/>
      <c r="C18" s="48" t="s">
        <v>55</v>
      </c>
      <c r="D18" s="49">
        <f>D14+D15+D16+D17</f>
        <v>8817</v>
      </c>
      <c r="E18" s="49">
        <f t="shared" ref="E18:G18" si="10">SUM(E14:E17)</f>
        <v>7018</v>
      </c>
      <c r="F18" s="49">
        <f t="shared" si="10"/>
        <v>6222</v>
      </c>
      <c r="G18" s="49">
        <f t="shared" si="10"/>
        <v>5190</v>
      </c>
      <c r="H18" s="38"/>
      <c r="I18" s="18"/>
      <c r="J18" s="48" t="s">
        <v>55</v>
      </c>
      <c r="K18" s="50">
        <f t="shared" si="6"/>
        <v>0.693269382</v>
      </c>
      <c r="L18" s="50">
        <f t="shared" si="7"/>
        <v>0.6533234035</v>
      </c>
      <c r="M18" s="50">
        <f t="shared" si="8"/>
        <v>0.6500888099</v>
      </c>
      <c r="N18" s="50">
        <f t="shared" si="9"/>
        <v>0.5949787917</v>
      </c>
      <c r="O18" s="1"/>
    </row>
    <row r="19" ht="15.75" customHeight="1">
      <c r="A19" s="1"/>
      <c r="B19" s="28"/>
      <c r="C19" s="28"/>
      <c r="D19" s="40"/>
      <c r="E19" s="40"/>
      <c r="F19" s="40"/>
      <c r="G19" s="40"/>
      <c r="H19" s="38"/>
      <c r="I19" s="28"/>
      <c r="J19" s="28"/>
      <c r="K19" s="41"/>
      <c r="L19" s="41"/>
      <c r="M19" s="41"/>
      <c r="N19" s="41"/>
      <c r="O19" s="1"/>
    </row>
    <row r="20" ht="15.75" customHeight="1">
      <c r="A20" s="1"/>
      <c r="B20" s="51" t="s">
        <v>56</v>
      </c>
      <c r="C20" s="4"/>
      <c r="D20" s="52">
        <f t="shared" ref="D20:G20" si="11">D12+D18</f>
        <v>12718</v>
      </c>
      <c r="E20" s="52">
        <f t="shared" si="11"/>
        <v>10742</v>
      </c>
      <c r="F20" s="52">
        <f t="shared" si="11"/>
        <v>9571</v>
      </c>
      <c r="G20" s="52">
        <f t="shared" si="11"/>
        <v>8723</v>
      </c>
      <c r="H20" s="38"/>
      <c r="I20" s="51" t="s">
        <v>56</v>
      </c>
      <c r="J20" s="4"/>
      <c r="K20" s="53">
        <f t="shared" ref="K20:N20" si="12">D20/D20</f>
        <v>1</v>
      </c>
      <c r="L20" s="53">
        <f t="shared" si="12"/>
        <v>1</v>
      </c>
      <c r="M20" s="53">
        <f t="shared" si="12"/>
        <v>1</v>
      </c>
      <c r="N20" s="53">
        <f t="shared" si="12"/>
        <v>1</v>
      </c>
      <c r="O20" s="1"/>
    </row>
    <row r="21" ht="15.75" customHeight="1">
      <c r="A21" s="1"/>
      <c r="B21" s="28"/>
      <c r="C21" s="28"/>
      <c r="D21" s="40"/>
      <c r="E21" s="40"/>
      <c r="F21" s="40"/>
      <c r="G21" s="40"/>
      <c r="H21" s="38"/>
      <c r="I21" s="28"/>
      <c r="J21" s="28"/>
      <c r="K21" s="41"/>
      <c r="L21" s="41"/>
      <c r="M21" s="41"/>
      <c r="N21" s="41"/>
      <c r="O21" s="1"/>
    </row>
    <row r="22" ht="15.75" customHeight="1">
      <c r="A22" s="1"/>
      <c r="B22" s="54" t="s">
        <v>56</v>
      </c>
      <c r="C22" s="55"/>
      <c r="D22" s="56">
        <f t="shared" ref="D22:G22" si="13">D12+D18</f>
        <v>12718</v>
      </c>
      <c r="E22" s="56">
        <f t="shared" si="13"/>
        <v>10742</v>
      </c>
      <c r="F22" s="56">
        <f t="shared" si="13"/>
        <v>9571</v>
      </c>
      <c r="G22" s="56">
        <f t="shared" si="13"/>
        <v>8723</v>
      </c>
      <c r="H22" s="38"/>
      <c r="I22" s="54" t="s">
        <v>56</v>
      </c>
      <c r="J22" s="55"/>
      <c r="K22" s="57">
        <f t="shared" ref="K22:N22" si="14">D22/D22</f>
        <v>1</v>
      </c>
      <c r="L22" s="57">
        <f t="shared" si="14"/>
        <v>1</v>
      </c>
      <c r="M22" s="57">
        <f t="shared" si="14"/>
        <v>1</v>
      </c>
      <c r="N22" s="57">
        <f t="shared" si="14"/>
        <v>1</v>
      </c>
      <c r="O22" s="1"/>
    </row>
    <row r="23" ht="15.75" customHeight="1">
      <c r="A23" s="1"/>
      <c r="B23" s="28"/>
      <c r="C23" s="28"/>
      <c r="D23" s="40"/>
      <c r="E23" s="40"/>
      <c r="F23" s="40"/>
      <c r="G23" s="40"/>
      <c r="H23" s="38"/>
      <c r="I23" s="28"/>
      <c r="J23" s="28"/>
      <c r="K23" s="41"/>
      <c r="L23" s="41"/>
      <c r="M23" s="41"/>
      <c r="N23" s="41"/>
      <c r="O23" s="1"/>
    </row>
    <row r="24" ht="15.75" customHeight="1">
      <c r="A24" s="1"/>
      <c r="B24" s="39" t="s">
        <v>57</v>
      </c>
      <c r="C24" s="3"/>
      <c r="D24" s="3"/>
      <c r="E24" s="3"/>
      <c r="F24" s="3"/>
      <c r="G24" s="4"/>
      <c r="H24" s="38"/>
      <c r="I24" s="39" t="s">
        <v>57</v>
      </c>
      <c r="J24" s="3"/>
      <c r="K24" s="3"/>
      <c r="L24" s="3"/>
      <c r="M24" s="3"/>
      <c r="N24" s="4"/>
      <c r="O24" s="1"/>
    </row>
    <row r="25" ht="15.75" customHeight="1">
      <c r="A25" s="1"/>
      <c r="B25" s="28"/>
      <c r="C25" s="28"/>
      <c r="D25" s="40"/>
      <c r="E25" s="40"/>
      <c r="F25" s="40"/>
      <c r="G25" s="40"/>
      <c r="H25" s="38"/>
      <c r="I25" s="28"/>
      <c r="J25" s="28"/>
      <c r="K25" s="41"/>
      <c r="L25" s="41"/>
      <c r="M25" s="41"/>
      <c r="N25" s="41"/>
      <c r="O25" s="1"/>
    </row>
    <row r="26" ht="15.75" customHeight="1">
      <c r="A26" s="1"/>
      <c r="B26" s="9" t="s">
        <v>58</v>
      </c>
      <c r="C26" s="28" t="s">
        <v>59</v>
      </c>
      <c r="D26" s="43">
        <v>145.0</v>
      </c>
      <c r="E26" s="42">
        <v>145.0</v>
      </c>
      <c r="F26" s="42">
        <v>145.0</v>
      </c>
      <c r="G26" s="43">
        <v>145.0</v>
      </c>
      <c r="H26" s="38"/>
      <c r="I26" s="9" t="s">
        <v>58</v>
      </c>
      <c r="J26" s="28" t="s">
        <v>59</v>
      </c>
      <c r="K26" s="44">
        <f t="shared" ref="K26:K28" si="15">$D26/$D$42</f>
        <v>0.0114011637</v>
      </c>
      <c r="L26" s="44">
        <f t="shared" ref="L26:L28" si="16">$E26/$E$42</f>
        <v>0.01349841743</v>
      </c>
      <c r="M26" s="44">
        <f t="shared" ref="M26:M28" si="17">$F26/$F$42</f>
        <v>0.01514993209</v>
      </c>
      <c r="N26" s="44">
        <f t="shared" ref="N26:N28" si="18">$G26/$G$42</f>
        <v>0.01662272154</v>
      </c>
      <c r="O26" s="1"/>
    </row>
    <row r="27" ht="15.75" customHeight="1">
      <c r="A27" s="1"/>
      <c r="B27" s="15"/>
      <c r="C27" s="45" t="s">
        <v>60</v>
      </c>
      <c r="D27" s="46">
        <v>7734.0</v>
      </c>
      <c r="E27" s="46">
        <v>6818.0</v>
      </c>
      <c r="F27" s="58">
        <v>5799.0</v>
      </c>
      <c r="G27" s="46">
        <v>4747.0</v>
      </c>
      <c r="H27" s="38"/>
      <c r="I27" s="15"/>
      <c r="J27" s="45" t="s">
        <v>60</v>
      </c>
      <c r="K27" s="47">
        <f t="shared" si="15"/>
        <v>0.6081144834</v>
      </c>
      <c r="L27" s="47">
        <f t="shared" si="16"/>
        <v>0.6347048967</v>
      </c>
      <c r="M27" s="47">
        <f t="shared" si="17"/>
        <v>0.6058928012</v>
      </c>
      <c r="N27" s="47">
        <f t="shared" si="18"/>
        <v>0.5441935114</v>
      </c>
      <c r="O27" s="1"/>
    </row>
    <row r="28" ht="15.75" customHeight="1">
      <c r="A28" s="1"/>
      <c r="B28" s="18"/>
      <c r="C28" s="48" t="s">
        <v>61</v>
      </c>
      <c r="D28" s="49">
        <f t="shared" ref="D28:G28" si="19">D26+D27</f>
        <v>7879</v>
      </c>
      <c r="E28" s="49">
        <f t="shared" si="19"/>
        <v>6963</v>
      </c>
      <c r="F28" s="49">
        <f t="shared" si="19"/>
        <v>5944</v>
      </c>
      <c r="G28" s="49">
        <f t="shared" si="19"/>
        <v>4892</v>
      </c>
      <c r="H28" s="38"/>
      <c r="I28" s="18"/>
      <c r="J28" s="48" t="s">
        <v>61</v>
      </c>
      <c r="K28" s="50">
        <f t="shared" si="15"/>
        <v>0.6195156471</v>
      </c>
      <c r="L28" s="50">
        <f t="shared" si="16"/>
        <v>0.6482033141</v>
      </c>
      <c r="M28" s="50">
        <f t="shared" si="17"/>
        <v>0.6210427333</v>
      </c>
      <c r="N28" s="50">
        <f t="shared" si="18"/>
        <v>0.5608162329</v>
      </c>
      <c r="O28" s="1"/>
    </row>
    <row r="29" ht="15.75" customHeight="1">
      <c r="A29" s="1"/>
      <c r="B29" s="28"/>
      <c r="C29" s="28"/>
      <c r="D29" s="40"/>
      <c r="E29" s="40"/>
      <c r="F29" s="40"/>
      <c r="G29" s="40"/>
      <c r="H29" s="38"/>
      <c r="I29" s="28"/>
      <c r="J29" s="28"/>
      <c r="K29" s="44"/>
      <c r="L29" s="44"/>
      <c r="M29" s="44"/>
      <c r="N29" s="44"/>
      <c r="O29" s="1"/>
    </row>
    <row r="30" ht="15.75" customHeight="1">
      <c r="A30" s="1"/>
      <c r="B30" s="51" t="s">
        <v>61</v>
      </c>
      <c r="C30" s="4"/>
      <c r="D30" s="52">
        <f t="shared" ref="D30:G30" si="20">D26+D27</f>
        <v>7879</v>
      </c>
      <c r="E30" s="52">
        <f t="shared" si="20"/>
        <v>6963</v>
      </c>
      <c r="F30" s="52">
        <f t="shared" si="20"/>
        <v>5944</v>
      </c>
      <c r="G30" s="52">
        <f t="shared" si="20"/>
        <v>4892</v>
      </c>
      <c r="H30" s="38"/>
      <c r="I30" s="51" t="s">
        <v>61</v>
      </c>
      <c r="J30" s="4"/>
      <c r="K30" s="59">
        <f>$D30/$D$42</f>
        <v>0.6195156471</v>
      </c>
      <c r="L30" s="59">
        <f>$E30/$E$42</f>
        <v>0.6482033141</v>
      </c>
      <c r="M30" s="59">
        <f>$F30/$F$42</f>
        <v>0.6210427333</v>
      </c>
      <c r="N30" s="59">
        <f>$G30/$G$42</f>
        <v>0.5608162329</v>
      </c>
      <c r="O30" s="1"/>
    </row>
    <row r="31" ht="15.75" customHeight="1">
      <c r="A31" s="1"/>
      <c r="B31" s="28"/>
      <c r="C31" s="28"/>
      <c r="D31" s="40"/>
      <c r="E31" s="40"/>
      <c r="F31" s="40"/>
      <c r="G31" s="40"/>
      <c r="H31" s="38"/>
      <c r="I31" s="28"/>
      <c r="J31" s="28"/>
      <c r="K31" s="44"/>
      <c r="L31" s="44"/>
      <c r="M31" s="44"/>
      <c r="N31" s="44"/>
      <c r="O31" s="1"/>
    </row>
    <row r="32" ht="15.75" customHeight="1">
      <c r="A32" s="1"/>
      <c r="B32" s="9" t="s">
        <v>62</v>
      </c>
      <c r="C32" s="28" t="s">
        <v>63</v>
      </c>
      <c r="D32" s="43">
        <v>16.0</v>
      </c>
      <c r="E32" s="43">
        <v>15.0</v>
      </c>
      <c r="F32" s="43">
        <v>12.0</v>
      </c>
      <c r="G32" s="43">
        <v>15.0</v>
      </c>
      <c r="H32" s="38"/>
      <c r="I32" s="9" t="s">
        <v>62</v>
      </c>
      <c r="J32" s="28" t="s">
        <v>63</v>
      </c>
      <c r="K32" s="44">
        <f t="shared" ref="K32:K34" si="21">$D32/$D$42</f>
        <v>0.001258059443</v>
      </c>
      <c r="L32" s="44">
        <f t="shared" ref="L32:L34" si="22">$E32/$E$42</f>
        <v>0.00139638801</v>
      </c>
      <c r="M32" s="44">
        <f t="shared" ref="M32:M34" si="23">$F32/$F$42</f>
        <v>0.001253787483</v>
      </c>
      <c r="N32" s="44">
        <f t="shared" ref="N32:N34" si="24">$G32/$G$42</f>
        <v>0.001719591884</v>
      </c>
      <c r="O32" s="1"/>
    </row>
    <row r="33" ht="15.75" customHeight="1">
      <c r="A33" s="1"/>
      <c r="B33" s="15"/>
      <c r="C33" s="45" t="s">
        <v>64</v>
      </c>
      <c r="D33" s="46">
        <v>334.0</v>
      </c>
      <c r="E33" s="46">
        <v>137.0</v>
      </c>
      <c r="F33" s="46">
        <v>80.0</v>
      </c>
      <c r="G33" s="46">
        <v>135.0</v>
      </c>
      <c r="H33" s="38"/>
      <c r="I33" s="15"/>
      <c r="J33" s="45" t="s">
        <v>64</v>
      </c>
      <c r="K33" s="47">
        <f t="shared" si="21"/>
        <v>0.02626199088</v>
      </c>
      <c r="L33" s="47">
        <f t="shared" si="22"/>
        <v>0.01275367716</v>
      </c>
      <c r="M33" s="47">
        <f t="shared" si="23"/>
        <v>0.00835858322</v>
      </c>
      <c r="N33" s="47">
        <f t="shared" si="24"/>
        <v>0.01547632695</v>
      </c>
      <c r="O33" s="1"/>
    </row>
    <row r="34" ht="15.75" customHeight="1">
      <c r="A34" s="1"/>
      <c r="B34" s="18"/>
      <c r="C34" s="48" t="s">
        <v>65</v>
      </c>
      <c r="D34" s="49">
        <f t="shared" ref="D34:G34" si="25">D32+D33</f>
        <v>350</v>
      </c>
      <c r="E34" s="49">
        <f t="shared" si="25"/>
        <v>152</v>
      </c>
      <c r="F34" s="49">
        <f t="shared" si="25"/>
        <v>92</v>
      </c>
      <c r="G34" s="49">
        <f t="shared" si="25"/>
        <v>150</v>
      </c>
      <c r="H34" s="38"/>
      <c r="I34" s="18"/>
      <c r="J34" s="48" t="s">
        <v>65</v>
      </c>
      <c r="K34" s="50">
        <f t="shared" si="21"/>
        <v>0.02752005032</v>
      </c>
      <c r="L34" s="50">
        <f t="shared" si="22"/>
        <v>0.01415006516</v>
      </c>
      <c r="M34" s="50">
        <f t="shared" si="23"/>
        <v>0.009612370703</v>
      </c>
      <c r="N34" s="50">
        <f t="shared" si="24"/>
        <v>0.01719591884</v>
      </c>
      <c r="O34" s="1"/>
    </row>
    <row r="35" ht="15.75" customHeight="1">
      <c r="A35" s="1"/>
      <c r="B35" s="28"/>
      <c r="C35" s="28"/>
      <c r="D35" s="40"/>
      <c r="E35" s="40"/>
      <c r="F35" s="40"/>
      <c r="G35" s="40"/>
      <c r="H35" s="38"/>
      <c r="I35" s="28"/>
      <c r="J35" s="28"/>
      <c r="K35" s="44"/>
      <c r="L35" s="44"/>
      <c r="M35" s="44"/>
      <c r="N35" s="44"/>
      <c r="O35" s="1"/>
    </row>
    <row r="36" ht="15.75" customHeight="1">
      <c r="A36" s="1"/>
      <c r="B36" s="9" t="s">
        <v>66</v>
      </c>
      <c r="C36" s="28" t="s">
        <v>67</v>
      </c>
      <c r="D36" s="43">
        <v>2152.0</v>
      </c>
      <c r="E36" s="43">
        <v>1827.0</v>
      </c>
      <c r="F36" s="43">
        <v>1738.0</v>
      </c>
      <c r="G36" s="43">
        <v>1528.0</v>
      </c>
      <c r="H36" s="38"/>
      <c r="I36" s="9" t="s">
        <v>66</v>
      </c>
      <c r="J36" s="28" t="s">
        <v>67</v>
      </c>
      <c r="K36" s="44">
        <f t="shared" ref="K36:K38" si="26">$D36/$D$42</f>
        <v>0.1692089951</v>
      </c>
      <c r="L36" s="44">
        <f t="shared" ref="L36:L38" si="27">$E36/$E$42</f>
        <v>0.1700800596</v>
      </c>
      <c r="M36" s="44">
        <f t="shared" ref="M36:M38" si="28">$F36/$F$42</f>
        <v>0.1815902205</v>
      </c>
      <c r="N36" s="44">
        <f t="shared" ref="N36:N38" si="29">$G36/$G$42</f>
        <v>0.1751690932</v>
      </c>
      <c r="O36" s="1"/>
    </row>
    <row r="37" ht="15.75" customHeight="1">
      <c r="A37" s="1"/>
      <c r="B37" s="15"/>
      <c r="C37" s="45" t="s">
        <v>68</v>
      </c>
      <c r="D37" s="46">
        <v>2337.0</v>
      </c>
      <c r="E37" s="46">
        <v>1800.0</v>
      </c>
      <c r="F37" s="46">
        <v>1797.0</v>
      </c>
      <c r="G37" s="46">
        <v>2153.0</v>
      </c>
      <c r="H37" s="38"/>
      <c r="I37" s="15"/>
      <c r="J37" s="45" t="s">
        <v>68</v>
      </c>
      <c r="K37" s="47">
        <f t="shared" si="26"/>
        <v>0.1837553074</v>
      </c>
      <c r="L37" s="47">
        <f t="shared" si="27"/>
        <v>0.1675665612</v>
      </c>
      <c r="M37" s="47">
        <f t="shared" si="28"/>
        <v>0.1877546756</v>
      </c>
      <c r="N37" s="47">
        <f t="shared" si="29"/>
        <v>0.246818755</v>
      </c>
      <c r="O37" s="1"/>
    </row>
    <row r="38" ht="15.75" customHeight="1">
      <c r="A38" s="1"/>
      <c r="B38" s="18"/>
      <c r="C38" s="48" t="s">
        <v>69</v>
      </c>
      <c r="D38" s="49">
        <f t="shared" ref="D38:G38" si="30">D36+D37</f>
        <v>4489</v>
      </c>
      <c r="E38" s="49">
        <f t="shared" si="30"/>
        <v>3627</v>
      </c>
      <c r="F38" s="49">
        <f t="shared" si="30"/>
        <v>3535</v>
      </c>
      <c r="G38" s="49">
        <f t="shared" si="30"/>
        <v>3681</v>
      </c>
      <c r="H38" s="38"/>
      <c r="I38" s="18"/>
      <c r="J38" s="48" t="s">
        <v>69</v>
      </c>
      <c r="K38" s="50">
        <f t="shared" si="26"/>
        <v>0.3529643026</v>
      </c>
      <c r="L38" s="50">
        <f t="shared" si="27"/>
        <v>0.3376466207</v>
      </c>
      <c r="M38" s="50">
        <f t="shared" si="28"/>
        <v>0.369344896</v>
      </c>
      <c r="N38" s="50">
        <f t="shared" si="29"/>
        <v>0.4219878482</v>
      </c>
      <c r="O38" s="1"/>
    </row>
    <row r="39" ht="15.75" customHeight="1">
      <c r="A39" s="1"/>
      <c r="B39" s="28"/>
      <c r="C39" s="28"/>
      <c r="D39" s="40"/>
      <c r="E39" s="40"/>
      <c r="F39" s="40"/>
      <c r="G39" s="40"/>
      <c r="H39" s="38"/>
      <c r="I39" s="28"/>
      <c r="J39" s="28"/>
      <c r="K39" s="44"/>
      <c r="L39" s="44"/>
      <c r="M39" s="44"/>
      <c r="N39" s="44"/>
      <c r="O39" s="1"/>
    </row>
    <row r="40" ht="15.75" customHeight="1">
      <c r="A40" s="1"/>
      <c r="B40" s="51" t="s">
        <v>70</v>
      </c>
      <c r="C40" s="4"/>
      <c r="D40" s="52">
        <f t="shared" ref="D40:G40" si="31">D34+D38</f>
        <v>4839</v>
      </c>
      <c r="E40" s="52">
        <f t="shared" si="31"/>
        <v>3779</v>
      </c>
      <c r="F40" s="52">
        <f t="shared" si="31"/>
        <v>3627</v>
      </c>
      <c r="G40" s="52">
        <f t="shared" si="31"/>
        <v>3831</v>
      </c>
      <c r="H40" s="38"/>
      <c r="I40" s="51" t="s">
        <v>70</v>
      </c>
      <c r="J40" s="4"/>
      <c r="K40" s="59">
        <f>$D40/$D$42</f>
        <v>0.3804843529</v>
      </c>
      <c r="L40" s="59">
        <f>$E40/$E$42</f>
        <v>0.3517966859</v>
      </c>
      <c r="M40" s="59">
        <f>$F40/$F$42</f>
        <v>0.3789572667</v>
      </c>
      <c r="N40" s="59">
        <f>$G40/$G$42</f>
        <v>0.4391837671</v>
      </c>
      <c r="O40" s="1"/>
    </row>
    <row r="41" ht="15.75" customHeight="1">
      <c r="A41" s="1"/>
      <c r="B41" s="28"/>
      <c r="C41" s="28"/>
      <c r="D41" s="40"/>
      <c r="E41" s="40"/>
      <c r="F41" s="40"/>
      <c r="G41" s="40"/>
      <c r="H41" s="38"/>
      <c r="I41" s="28"/>
      <c r="J41" s="28"/>
      <c r="K41" s="41"/>
      <c r="L41" s="41"/>
      <c r="M41" s="41"/>
      <c r="N41" s="41"/>
      <c r="O41" s="1"/>
    </row>
    <row r="42" ht="15.75" customHeight="1">
      <c r="A42" s="1"/>
      <c r="B42" s="54" t="s">
        <v>71</v>
      </c>
      <c r="C42" s="55"/>
      <c r="D42" s="56">
        <f t="shared" ref="D42:G42" si="32">D30+D40</f>
        <v>12718</v>
      </c>
      <c r="E42" s="56">
        <f t="shared" si="32"/>
        <v>10742</v>
      </c>
      <c r="F42" s="56">
        <f t="shared" si="32"/>
        <v>9571</v>
      </c>
      <c r="G42" s="56">
        <f t="shared" si="32"/>
        <v>8723</v>
      </c>
      <c r="H42" s="60"/>
      <c r="I42" s="54" t="s">
        <v>71</v>
      </c>
      <c r="J42" s="55"/>
      <c r="K42" s="57">
        <f t="shared" ref="K42:N42" si="33">D42/D42</f>
        <v>1</v>
      </c>
      <c r="L42" s="57">
        <f t="shared" si="33"/>
        <v>1</v>
      </c>
      <c r="M42" s="57">
        <f t="shared" si="33"/>
        <v>1</v>
      </c>
      <c r="N42" s="57">
        <f t="shared" si="33"/>
        <v>1</v>
      </c>
      <c r="O42" s="1"/>
    </row>
    <row r="43" ht="15.75" customHeight="1">
      <c r="A43" s="1"/>
      <c r="B43" s="1"/>
      <c r="C43" s="1"/>
      <c r="D43" s="34"/>
      <c r="E43" s="34"/>
      <c r="F43" s="34"/>
      <c r="G43" s="34"/>
      <c r="H43" s="1"/>
      <c r="I43" s="1"/>
      <c r="J43" s="1"/>
      <c r="K43" s="1"/>
      <c r="L43" s="1"/>
      <c r="M43" s="1"/>
      <c r="N43" s="1"/>
      <c r="O43" s="1"/>
    </row>
    <row r="44" ht="15.75" customHeight="1">
      <c r="A44" s="1"/>
      <c r="B44" s="1"/>
      <c r="C44" s="1"/>
      <c r="D44" s="34"/>
      <c r="E44" s="34"/>
      <c r="F44" s="34"/>
      <c r="G44" s="34"/>
      <c r="H44" s="1"/>
      <c r="I44" s="1"/>
      <c r="J44" s="1"/>
      <c r="K44" s="1"/>
      <c r="L44" s="1"/>
      <c r="M44" s="1"/>
      <c r="N44" s="1"/>
      <c r="O44" s="1"/>
    </row>
    <row r="45" ht="15.75" customHeight="1">
      <c r="A45" s="1"/>
      <c r="B45" s="33"/>
      <c r="C45" s="1"/>
      <c r="D45" s="34"/>
      <c r="E45" s="34"/>
      <c r="F45" s="34"/>
      <c r="G45" s="34"/>
      <c r="H45" s="1"/>
      <c r="I45" s="1"/>
      <c r="J45" s="1"/>
      <c r="K45" s="1"/>
      <c r="L45" s="1"/>
      <c r="M45" s="1"/>
      <c r="N45" s="1"/>
      <c r="O45" s="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4:B18"/>
    <mergeCell ref="B20:C20"/>
    <mergeCell ref="B26:B28"/>
    <mergeCell ref="B30:C30"/>
    <mergeCell ref="B32:B34"/>
    <mergeCell ref="B36:B38"/>
    <mergeCell ref="B40:C40"/>
    <mergeCell ref="I20:J20"/>
    <mergeCell ref="B24:G24"/>
    <mergeCell ref="I24:N24"/>
    <mergeCell ref="I26:I28"/>
    <mergeCell ref="I30:J30"/>
    <mergeCell ref="I32:I34"/>
    <mergeCell ref="I36:I38"/>
    <mergeCell ref="I40:J40"/>
    <mergeCell ref="B3:G3"/>
    <mergeCell ref="I3:N3"/>
    <mergeCell ref="B6:G6"/>
    <mergeCell ref="I6:N6"/>
    <mergeCell ref="B8:B12"/>
    <mergeCell ref="I8:I12"/>
    <mergeCell ref="I14:I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1"/>
      <c r="G1" s="1"/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61" t="s">
        <v>72</v>
      </c>
      <c r="B3" s="62" t="s">
        <v>73</v>
      </c>
      <c r="C3" s="3"/>
      <c r="D3" s="3"/>
      <c r="E3" s="3"/>
      <c r="F3" s="4"/>
      <c r="G3" s="1"/>
    </row>
    <row r="4" ht="15.75" customHeight="1">
      <c r="A4" s="33"/>
      <c r="B4" s="63" t="s">
        <v>74</v>
      </c>
      <c r="C4" s="64" t="s">
        <v>3</v>
      </c>
      <c r="D4" s="64" t="s">
        <v>4</v>
      </c>
      <c r="E4" s="64" t="s">
        <v>5</v>
      </c>
      <c r="F4" s="65" t="s">
        <v>6</v>
      </c>
      <c r="G4" s="1"/>
    </row>
    <row r="5" ht="15.75" customHeight="1">
      <c r="A5" s="1"/>
      <c r="B5" s="66" t="s">
        <v>75</v>
      </c>
      <c r="C5" s="67">
        <f>'United Spirits BS'!D18/'United Spirits BS'!D38</f>
        <v>1.964134551</v>
      </c>
      <c r="D5" s="67">
        <f>'United Spirits BS'!E18/'United Spirits BS'!E38</f>
        <v>1.934932451</v>
      </c>
      <c r="E5" s="67">
        <f>'United Spirits BS'!F18/'United Spirits BS'!F38</f>
        <v>1.760113154</v>
      </c>
      <c r="F5" s="67">
        <f>'United Spirits BS'!G18/'United Spirits BS'!G38</f>
        <v>1.40994295</v>
      </c>
      <c r="G5" s="1"/>
    </row>
    <row r="6" ht="15.75" customHeight="1">
      <c r="A6" s="1"/>
      <c r="B6" s="68" t="s">
        <v>76</v>
      </c>
      <c r="C6" s="67">
        <v>1.0</v>
      </c>
      <c r="D6" s="67">
        <v>1.0</v>
      </c>
      <c r="E6" s="67">
        <v>1.0</v>
      </c>
      <c r="F6" s="67">
        <v>1.0</v>
      </c>
      <c r="G6" s="1"/>
    </row>
    <row r="7" ht="15.75" customHeight="1">
      <c r="A7" s="1"/>
      <c r="B7" s="1"/>
      <c r="C7" s="1"/>
      <c r="D7" s="1"/>
      <c r="E7" s="1"/>
      <c r="F7" s="1"/>
      <c r="G7" s="1"/>
    </row>
    <row r="8" ht="15.75" customHeight="1">
      <c r="A8" s="1"/>
      <c r="B8" s="1"/>
      <c r="C8" s="1"/>
      <c r="D8" s="1"/>
      <c r="E8" s="1"/>
      <c r="F8" s="1"/>
      <c r="G8" s="1"/>
    </row>
    <row r="9" ht="15.75" customHeight="1">
      <c r="A9" s="33"/>
      <c r="B9" s="62" t="s">
        <v>77</v>
      </c>
      <c r="C9" s="3"/>
      <c r="D9" s="3"/>
      <c r="E9" s="3"/>
      <c r="F9" s="4"/>
      <c r="G9" s="1"/>
    </row>
    <row r="10" ht="15.75" customHeight="1">
      <c r="A10" s="33"/>
      <c r="B10" s="69" t="s">
        <v>74</v>
      </c>
      <c r="C10" s="64" t="s">
        <v>3</v>
      </c>
      <c r="D10" s="64" t="s">
        <v>4</v>
      </c>
      <c r="E10" s="64" t="s">
        <v>5</v>
      </c>
      <c r="F10" s="64" t="s">
        <v>6</v>
      </c>
      <c r="G10" s="1"/>
    </row>
    <row r="11" ht="15.75" customHeight="1">
      <c r="A11" s="70"/>
      <c r="B11" s="71" t="s">
        <v>75</v>
      </c>
      <c r="C11" s="72">
        <f>('United Spirits BS'!D18-'United Spirits BS'!D14)/'United Spirits BS'!D38</f>
        <v>1.450657162</v>
      </c>
      <c r="D11" s="72">
        <f>('United Spirits BS'!E18-'United Spirits BS'!E14)/'United Spirits BS'!E38</f>
        <v>1.366142818</v>
      </c>
      <c r="E11" s="72">
        <f>('United Spirits BS'!F18-'United Spirits BS'!F14)/'United Spirits BS'!F38</f>
        <v>1.129278642</v>
      </c>
      <c r="F11" s="72">
        <f>('United Spirits BS'!G18-'United Spirits BS'!G14)/'United Spirits BS'!G38</f>
        <v>0.822059223</v>
      </c>
      <c r="G11" s="1"/>
    </row>
    <row r="12" ht="15.75" customHeight="1">
      <c r="A12" s="1"/>
      <c r="B12" s="68" t="s">
        <v>76</v>
      </c>
      <c r="C12" s="67">
        <v>1.0</v>
      </c>
      <c r="D12" s="67">
        <v>1.0</v>
      </c>
      <c r="E12" s="67">
        <v>1.0</v>
      </c>
      <c r="F12" s="67">
        <v>1.0</v>
      </c>
      <c r="G12" s="1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1"/>
      <c r="C14" s="1"/>
      <c r="D14" s="1"/>
      <c r="E14" s="1"/>
      <c r="F14" s="1"/>
      <c r="G14" s="1"/>
    </row>
    <row r="15" ht="15.75" customHeight="1">
      <c r="A15" s="33"/>
      <c r="B15" s="62" t="s">
        <v>78</v>
      </c>
      <c r="C15" s="3"/>
      <c r="D15" s="3"/>
      <c r="E15" s="3"/>
      <c r="F15" s="4"/>
      <c r="G15" s="1"/>
    </row>
    <row r="16" ht="15.75" customHeight="1">
      <c r="A16" s="33"/>
      <c r="B16" s="69" t="s">
        <v>74</v>
      </c>
      <c r="C16" s="64" t="s">
        <v>3</v>
      </c>
      <c r="D16" s="64" t="s">
        <v>4</v>
      </c>
      <c r="E16" s="64" t="s">
        <v>5</v>
      </c>
      <c r="F16" s="64" t="s">
        <v>6</v>
      </c>
      <c r="G16" s="1"/>
    </row>
    <row r="17" ht="15.75" customHeight="1">
      <c r="A17" s="70"/>
      <c r="B17" s="71" t="s">
        <v>75</v>
      </c>
      <c r="C17" s="72">
        <f>'United Spirits BS'!D16/'United Spirits BS'!D38</f>
        <v>0.2561817777</v>
      </c>
      <c r="D17" s="72">
        <f>'United Spirits BS'!E16/'United Spirits BS'!E38</f>
        <v>0.2814998621</v>
      </c>
      <c r="E17" s="72">
        <f>'United Spirits BS'!F16/'United Spirits BS'!F38</f>
        <v>0.02291371994</v>
      </c>
      <c r="F17" s="72">
        <f>'United Spirits BS'!G16/'United Spirits BS'!G38</f>
        <v>0.007334963325</v>
      </c>
      <c r="G17" s="1"/>
    </row>
    <row r="18" ht="15.75" customHeight="1">
      <c r="A18" s="1"/>
      <c r="B18" s="68" t="s">
        <v>76</v>
      </c>
      <c r="C18" s="67">
        <v>0.5</v>
      </c>
      <c r="D18" s="67">
        <v>0.5</v>
      </c>
      <c r="E18" s="67">
        <v>0.5</v>
      </c>
      <c r="F18" s="67">
        <v>0.5</v>
      </c>
      <c r="G18" s="1"/>
    </row>
    <row r="19" ht="15.75" customHeight="1">
      <c r="A19" s="1"/>
      <c r="B19" s="1"/>
      <c r="C19" s="1"/>
      <c r="D19" s="1"/>
      <c r="E19" s="1"/>
      <c r="F19" s="1"/>
      <c r="G19" s="1"/>
    </row>
    <row r="20" ht="15.75" customHeight="1">
      <c r="A20" s="1"/>
      <c r="B20" s="1"/>
      <c r="C20" s="1"/>
      <c r="D20" s="1"/>
      <c r="E20" s="1"/>
      <c r="F20" s="1"/>
      <c r="G20" s="1"/>
    </row>
    <row r="21" ht="15.75" customHeight="1">
      <c r="A21" s="1"/>
      <c r="B21" s="1"/>
      <c r="C21" s="1"/>
      <c r="D21" s="1"/>
      <c r="E21" s="1"/>
      <c r="F21" s="1"/>
      <c r="G21" s="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F3"/>
    <mergeCell ref="B9:F9"/>
    <mergeCell ref="B15:F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88"/>
    <col customWidth="1" min="3" max="6" width="12.63"/>
    <col customWidth="1" min="8" max="8" width="13.88"/>
  </cols>
  <sheetData>
    <row r="1" ht="15.75" customHeight="1">
      <c r="G1" s="73"/>
      <c r="H1" s="73"/>
      <c r="I1" s="73"/>
      <c r="J1" s="73"/>
      <c r="K1" s="73"/>
      <c r="L1" s="73"/>
      <c r="M1" s="73"/>
    </row>
    <row r="2" ht="15.75" customHeight="1">
      <c r="B2" s="61"/>
      <c r="C2" s="61"/>
      <c r="D2" s="61"/>
      <c r="E2" s="61"/>
      <c r="F2" s="61"/>
      <c r="G2" s="73"/>
      <c r="H2" s="73"/>
      <c r="I2" s="73"/>
      <c r="J2" s="73"/>
      <c r="K2" s="73"/>
      <c r="L2" s="73"/>
      <c r="M2" s="73"/>
    </row>
    <row r="3" ht="15.75" customHeight="1">
      <c r="B3" s="62" t="s">
        <v>79</v>
      </c>
      <c r="C3" s="3"/>
      <c r="D3" s="3"/>
      <c r="E3" s="3"/>
      <c r="F3" s="4"/>
      <c r="G3" s="73"/>
      <c r="H3" s="74" t="s">
        <v>80</v>
      </c>
      <c r="I3" s="3"/>
      <c r="J3" s="3"/>
      <c r="K3" s="3"/>
      <c r="L3" s="4"/>
      <c r="M3" s="73"/>
    </row>
    <row r="4" ht="15.75" customHeight="1">
      <c r="B4" s="63" t="s">
        <v>74</v>
      </c>
      <c r="C4" s="65" t="s">
        <v>3</v>
      </c>
      <c r="D4" s="65" t="s">
        <v>4</v>
      </c>
      <c r="E4" s="65" t="s">
        <v>5</v>
      </c>
      <c r="F4" s="65" t="s">
        <v>6</v>
      </c>
      <c r="G4" s="73"/>
      <c r="H4" s="75" t="s">
        <v>74</v>
      </c>
      <c r="I4" s="76" t="s">
        <v>3</v>
      </c>
      <c r="J4" s="76" t="s">
        <v>4</v>
      </c>
      <c r="K4" s="76" t="s">
        <v>5</v>
      </c>
      <c r="L4" s="76" t="s">
        <v>6</v>
      </c>
      <c r="M4" s="73"/>
    </row>
    <row r="5" ht="15.75" customHeight="1">
      <c r="B5" s="77" t="s">
        <v>75</v>
      </c>
      <c r="C5" s="78">
        <f>'United Spirits IS'!D5/'United Spirits BS'!D15</f>
        <v>8.144768856</v>
      </c>
      <c r="D5" s="78">
        <f>'United Spirits IS'!E5/'United Spirits BS'!E15</f>
        <v>9.188925081</v>
      </c>
      <c r="E5" s="78">
        <f>'United Spirits IS'!F5/'United Spirits BS'!F15</f>
        <v>11.57280739</v>
      </c>
      <c r="F5" s="78">
        <f>'United Spirits IS'!G5/'United Spirits BS'!G15</f>
        <v>13.36794092</v>
      </c>
      <c r="G5" s="73"/>
      <c r="H5" s="79" t="s">
        <v>75</v>
      </c>
      <c r="I5" s="80">
        <f>'United Spirits IS'!D7/'United Spirits BS'!D8</f>
        <v>32.00705882</v>
      </c>
      <c r="J5" s="80">
        <f>'United Spirits IS'!E7/'United Spirits BS'!E8</f>
        <v>30.47867299</v>
      </c>
      <c r="K5" s="80">
        <f>'United Spirits IS'!F7/'United Spirits BS'!F8</f>
        <v>28.27402863</v>
      </c>
      <c r="L5" s="80">
        <f>'United Spirits IS'!G7/'United Spirits BS'!G8</f>
        <v>25.65112406</v>
      </c>
      <c r="M5" s="73"/>
    </row>
    <row r="6" ht="15.75" customHeight="1">
      <c r="B6" s="81" t="s">
        <v>81</v>
      </c>
      <c r="C6" s="82" t="s">
        <v>82</v>
      </c>
      <c r="D6" s="3"/>
      <c r="E6" s="3"/>
      <c r="F6" s="4"/>
      <c r="G6" s="73"/>
      <c r="H6" s="81" t="s">
        <v>81</v>
      </c>
      <c r="I6" s="82" t="s">
        <v>83</v>
      </c>
      <c r="J6" s="3"/>
      <c r="K6" s="3"/>
      <c r="L6" s="4"/>
      <c r="M6" s="73"/>
    </row>
    <row r="7" ht="15.75" customHeight="1">
      <c r="B7" s="83"/>
      <c r="C7" s="84"/>
      <c r="D7" s="84"/>
      <c r="E7" s="84"/>
      <c r="F7" s="84"/>
      <c r="G7" s="73"/>
      <c r="H7" s="85"/>
      <c r="I7" s="86"/>
      <c r="J7" s="86"/>
      <c r="K7" s="86"/>
      <c r="L7" s="86"/>
      <c r="M7" s="73"/>
    </row>
    <row r="8" ht="15.75" customHeight="1">
      <c r="G8" s="73"/>
      <c r="H8" s="87"/>
      <c r="I8" s="87"/>
      <c r="J8" s="87"/>
      <c r="K8" s="87"/>
      <c r="L8" s="87"/>
      <c r="M8" s="73"/>
    </row>
    <row r="9" ht="15.75" customHeight="1">
      <c r="G9" s="73"/>
      <c r="H9" s="87"/>
      <c r="I9" s="87"/>
      <c r="J9" s="87"/>
      <c r="K9" s="87"/>
      <c r="L9" s="87"/>
      <c r="M9" s="73"/>
    </row>
    <row r="10" ht="15.75" customHeight="1">
      <c r="B10" s="62" t="s">
        <v>84</v>
      </c>
      <c r="C10" s="3"/>
      <c r="D10" s="3"/>
      <c r="E10" s="3"/>
      <c r="F10" s="4"/>
      <c r="G10" s="73"/>
      <c r="H10" s="74" t="s">
        <v>85</v>
      </c>
      <c r="I10" s="3"/>
      <c r="J10" s="3"/>
      <c r="K10" s="3"/>
      <c r="L10" s="4"/>
      <c r="M10" s="73"/>
    </row>
    <row r="11" ht="15.75" customHeight="1">
      <c r="B11" s="63" t="s">
        <v>74</v>
      </c>
      <c r="C11" s="65" t="s">
        <v>3</v>
      </c>
      <c r="D11" s="65" t="s">
        <v>4</v>
      </c>
      <c r="E11" s="65" t="s">
        <v>5</v>
      </c>
      <c r="F11" s="65" t="s">
        <v>6</v>
      </c>
      <c r="G11" s="73"/>
      <c r="H11" s="88" t="s">
        <v>74</v>
      </c>
      <c r="I11" s="89" t="s">
        <v>3</v>
      </c>
      <c r="J11" s="89" t="s">
        <v>4</v>
      </c>
      <c r="K11" s="89" t="s">
        <v>5</v>
      </c>
      <c r="L11" s="89" t="s">
        <v>6</v>
      </c>
      <c r="M11" s="73"/>
    </row>
    <row r="12" ht="15.75" customHeight="1">
      <c r="B12" s="79" t="s">
        <v>75</v>
      </c>
      <c r="C12" s="80">
        <f t="shared" ref="C12:F12" si="1">365/C5</f>
        <v>44.81404033</v>
      </c>
      <c r="D12" s="80">
        <f t="shared" si="1"/>
        <v>39.72172988</v>
      </c>
      <c r="E12" s="80">
        <f t="shared" si="1"/>
        <v>31.53945174</v>
      </c>
      <c r="F12" s="80">
        <f t="shared" si="1"/>
        <v>27.30413024</v>
      </c>
      <c r="G12" s="73"/>
      <c r="H12" s="79" t="s">
        <v>75</v>
      </c>
      <c r="I12" s="80">
        <f>'United Spirits IS'!D7/'United Spirits BS'!D22</f>
        <v>2.139172826</v>
      </c>
      <c r="J12" s="80">
        <f>'United Spirits IS'!E7/'United Spirits BS'!E22</f>
        <v>2.394712344</v>
      </c>
      <c r="K12" s="80">
        <f>'United Spirits IS'!F7/'United Spirits BS'!F22</f>
        <v>2.88914429</v>
      </c>
      <c r="L12" s="80">
        <f>'United Spirits IS'!G7/'United Spirits BS'!G22</f>
        <v>3.53169781</v>
      </c>
      <c r="M12" s="73"/>
    </row>
    <row r="13" ht="15.75" customHeight="1">
      <c r="B13" s="81" t="s">
        <v>81</v>
      </c>
      <c r="C13" s="82" t="s">
        <v>86</v>
      </c>
      <c r="D13" s="3"/>
      <c r="E13" s="3"/>
      <c r="F13" s="4"/>
      <c r="G13" s="73"/>
      <c r="H13" s="81" t="s">
        <v>81</v>
      </c>
      <c r="I13" s="82" t="s">
        <v>87</v>
      </c>
      <c r="J13" s="3"/>
      <c r="K13" s="3"/>
      <c r="L13" s="4"/>
      <c r="M13" s="73"/>
    </row>
    <row r="14" ht="15.75" customHeight="1">
      <c r="G14" s="73"/>
      <c r="H14" s="73"/>
      <c r="I14" s="73"/>
      <c r="J14" s="73"/>
      <c r="K14" s="73"/>
      <c r="L14" s="73"/>
      <c r="M14" s="73"/>
    </row>
    <row r="15" ht="15.75" customHeight="1">
      <c r="G15" s="73"/>
      <c r="H15" s="73"/>
      <c r="I15" s="73"/>
      <c r="J15" s="73"/>
      <c r="K15" s="73"/>
      <c r="L15" s="73"/>
      <c r="M15" s="7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:F3"/>
    <mergeCell ref="H3:L3"/>
    <mergeCell ref="C6:F6"/>
    <mergeCell ref="I6:L6"/>
    <mergeCell ref="B10:F10"/>
    <mergeCell ref="H10:L10"/>
    <mergeCell ref="C13:F13"/>
    <mergeCell ref="I13:L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88"/>
    <col customWidth="1" min="3" max="6" width="12.63"/>
    <col customWidth="1" min="8" max="8" width="13.88"/>
  </cols>
  <sheetData>
    <row r="1" ht="15.75" customHeight="1">
      <c r="A1" s="87"/>
      <c r="B1" s="87"/>
      <c r="C1" s="87"/>
      <c r="D1" s="87"/>
      <c r="E1" s="87"/>
      <c r="F1" s="87"/>
      <c r="G1" s="73"/>
      <c r="H1" s="73"/>
      <c r="I1" s="73"/>
      <c r="J1" s="73"/>
      <c r="K1" s="73"/>
      <c r="L1" s="73"/>
      <c r="M1" s="73"/>
      <c r="N1" s="73"/>
    </row>
    <row r="2" ht="15.75" customHeight="1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 ht="15.75" customHeight="1">
      <c r="A3" s="73"/>
      <c r="B3" s="74" t="s">
        <v>88</v>
      </c>
      <c r="C3" s="3"/>
      <c r="D3" s="3"/>
      <c r="E3" s="3"/>
      <c r="F3" s="4"/>
      <c r="G3" s="73"/>
      <c r="H3" s="62" t="s">
        <v>89</v>
      </c>
      <c r="I3" s="3"/>
      <c r="J3" s="3"/>
      <c r="K3" s="3"/>
      <c r="L3" s="4"/>
      <c r="M3" s="73"/>
      <c r="N3" s="73"/>
    </row>
    <row r="4" ht="15.75" customHeight="1">
      <c r="A4" s="73"/>
      <c r="B4" s="90" t="s">
        <v>74</v>
      </c>
      <c r="C4" s="76" t="s">
        <v>3</v>
      </c>
      <c r="D4" s="76" t="s">
        <v>4</v>
      </c>
      <c r="E4" s="76" t="s">
        <v>5</v>
      </c>
      <c r="F4" s="76" t="s">
        <v>6</v>
      </c>
      <c r="G4" s="73"/>
      <c r="H4" s="91" t="s">
        <v>74</v>
      </c>
      <c r="I4" s="89" t="s">
        <v>3</v>
      </c>
      <c r="J4" s="89" t="s">
        <v>4</v>
      </c>
      <c r="K4" s="89" t="s">
        <v>5</v>
      </c>
      <c r="L4" s="89" t="s">
        <v>6</v>
      </c>
      <c r="M4" s="73"/>
      <c r="N4" s="73"/>
    </row>
    <row r="5" ht="15.75" customHeight="1">
      <c r="A5" s="73"/>
      <c r="B5" s="92" t="s">
        <v>75</v>
      </c>
      <c r="C5" s="93">
        <f>'United Spirits IS'!D13/'United Spirits IS'!D7</f>
        <v>0.2059104609</v>
      </c>
      <c r="D5" s="93">
        <f>'United Spirits IS'!E13/'United Spirits IS'!E7</f>
        <v>0.1935546571</v>
      </c>
      <c r="E5" s="93">
        <f>'United Spirits IS'!F13/'United Spirits IS'!F7</f>
        <v>0.1582525676</v>
      </c>
      <c r="F5" s="93">
        <f>'United Spirits IS'!G13/'United Spirits IS'!G7</f>
        <v>0.1355211478</v>
      </c>
      <c r="G5" s="73"/>
      <c r="H5" s="92" t="s">
        <v>75</v>
      </c>
      <c r="I5" s="93">
        <f>'United Spirits IS'!D28/'United Spirits BS'!D30</f>
        <v>0.1977408301</v>
      </c>
      <c r="J5" s="93">
        <f>'United Spirits IS'!E28/'United Spirits BS'!E30</f>
        <v>0.1884245297</v>
      </c>
      <c r="K5" s="93">
        <f>'United Spirits IS'!F28/'United Spirits BS'!F30</f>
        <v>0.1769851952</v>
      </c>
      <c r="L5" s="93">
        <f>'United Spirits IS'!G28/'United Spirits BS'!G30</f>
        <v>0.1739574816</v>
      </c>
      <c r="M5" s="73"/>
      <c r="N5" s="73"/>
    </row>
    <row r="6" ht="15.75" customHeight="1">
      <c r="A6" s="73"/>
      <c r="B6" s="94" t="s">
        <v>81</v>
      </c>
      <c r="C6" s="95" t="s">
        <v>90</v>
      </c>
      <c r="D6" s="3"/>
      <c r="E6" s="3"/>
      <c r="F6" s="4"/>
      <c r="G6" s="73"/>
      <c r="H6" s="94" t="s">
        <v>81</v>
      </c>
      <c r="I6" s="95" t="s">
        <v>91</v>
      </c>
      <c r="J6" s="3"/>
      <c r="K6" s="3"/>
      <c r="L6" s="4"/>
      <c r="M6" s="73"/>
      <c r="N6" s="73"/>
    </row>
    <row r="7" ht="15.75" customHeight="1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</row>
    <row r="8" ht="15.75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</row>
    <row r="9" ht="15.75" customHeight="1">
      <c r="A9" s="73"/>
      <c r="B9" s="62" t="s">
        <v>92</v>
      </c>
      <c r="C9" s="3"/>
      <c r="D9" s="3"/>
      <c r="E9" s="3"/>
      <c r="F9" s="4"/>
      <c r="G9" s="73"/>
      <c r="H9" s="62" t="s">
        <v>93</v>
      </c>
      <c r="I9" s="3"/>
      <c r="J9" s="3"/>
      <c r="K9" s="3"/>
      <c r="L9" s="4"/>
      <c r="M9" s="73"/>
      <c r="N9" s="73"/>
    </row>
    <row r="10" ht="15.75" customHeight="1">
      <c r="A10" s="73"/>
      <c r="B10" s="91" t="s">
        <v>74</v>
      </c>
      <c r="C10" s="89" t="s">
        <v>3</v>
      </c>
      <c r="D10" s="89" t="s">
        <v>4</v>
      </c>
      <c r="E10" s="89" t="s">
        <v>5</v>
      </c>
      <c r="F10" s="89" t="s">
        <v>6</v>
      </c>
      <c r="G10" s="73"/>
      <c r="H10" s="91" t="s">
        <v>74</v>
      </c>
      <c r="I10" s="89" t="s">
        <v>3</v>
      </c>
      <c r="J10" s="89" t="s">
        <v>4</v>
      </c>
      <c r="K10" s="89" t="s">
        <v>5</v>
      </c>
      <c r="L10" s="89" t="s">
        <v>6</v>
      </c>
      <c r="M10" s="73"/>
      <c r="N10" s="73"/>
    </row>
    <row r="11" ht="15.75" customHeight="1">
      <c r="A11" s="73"/>
      <c r="B11" s="92" t="s">
        <v>75</v>
      </c>
      <c r="C11" s="93">
        <f>'United Spirits IS'!D19/'United Spirits IS'!D7</f>
        <v>0.08123208116</v>
      </c>
      <c r="D11" s="93">
        <f>'United Spirits IS'!E19/'United Spirits IS'!E7</f>
        <v>0.06915720728</v>
      </c>
      <c r="E11" s="93">
        <f>'United Spirits IS'!F19/'United Spirits IS'!F7</f>
        <v>0.04419210184</v>
      </c>
      <c r="F11" s="93">
        <f>'United Spirits IS'!G19/'United Spirits IS'!G7</f>
        <v>0.04076995488</v>
      </c>
      <c r="G11" s="73"/>
      <c r="H11" s="92" t="s">
        <v>75</v>
      </c>
      <c r="I11" s="93">
        <f>'United Spirits IS'!D28/'United Spirits BS'!D22</f>
        <v>0.1225035383</v>
      </c>
      <c r="J11" s="93">
        <f>'United Spirits IS'!E28/'United Spirits BS'!E22</f>
        <v>0.1221374046</v>
      </c>
      <c r="K11" s="93">
        <f>'United Spirits IS'!F28/'United Spirits BS'!F22</f>
        <v>0.1099153693</v>
      </c>
      <c r="L11" s="93">
        <f>'United Spirits IS'!G28/'United Spirits BS'!G22</f>
        <v>0.09755817953</v>
      </c>
      <c r="M11" s="73"/>
      <c r="N11" s="73"/>
    </row>
    <row r="12" ht="15.75" customHeight="1">
      <c r="A12" s="73"/>
      <c r="B12" s="94" t="s">
        <v>81</v>
      </c>
      <c r="C12" s="95" t="s">
        <v>94</v>
      </c>
      <c r="D12" s="3"/>
      <c r="E12" s="3"/>
      <c r="F12" s="4"/>
      <c r="G12" s="73"/>
      <c r="H12" s="94" t="s">
        <v>81</v>
      </c>
      <c r="I12" s="95" t="s">
        <v>95</v>
      </c>
      <c r="J12" s="3"/>
      <c r="K12" s="3"/>
      <c r="L12" s="4"/>
      <c r="M12" s="73"/>
      <c r="N12" s="73"/>
    </row>
    <row r="13" ht="15.75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</row>
    <row r="14" ht="15.75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</row>
    <row r="15" ht="15.75" customHeight="1">
      <c r="A15" s="73"/>
      <c r="B15" s="62" t="s">
        <v>96</v>
      </c>
      <c r="C15" s="3"/>
      <c r="D15" s="3"/>
      <c r="E15" s="3"/>
      <c r="F15" s="4"/>
      <c r="G15" s="73"/>
      <c r="H15" s="62" t="s">
        <v>97</v>
      </c>
      <c r="I15" s="3"/>
      <c r="J15" s="3"/>
      <c r="K15" s="3"/>
      <c r="L15" s="4"/>
      <c r="M15" s="73"/>
      <c r="N15" s="73"/>
    </row>
    <row r="16" ht="15.75" customHeight="1">
      <c r="A16" s="73"/>
      <c r="B16" s="91" t="s">
        <v>74</v>
      </c>
      <c r="C16" s="89" t="s">
        <v>3</v>
      </c>
      <c r="D16" s="89" t="s">
        <v>4</v>
      </c>
      <c r="E16" s="89" t="s">
        <v>5</v>
      </c>
      <c r="F16" s="89" t="s">
        <v>6</v>
      </c>
      <c r="G16" s="73"/>
      <c r="H16" s="91" t="s">
        <v>74</v>
      </c>
      <c r="I16" s="89" t="s">
        <v>3</v>
      </c>
      <c r="J16" s="89" t="s">
        <v>4</v>
      </c>
      <c r="K16" s="89" t="s">
        <v>5</v>
      </c>
      <c r="L16" s="89" t="s">
        <v>6</v>
      </c>
      <c r="M16" s="73"/>
      <c r="N16" s="73"/>
    </row>
    <row r="17" ht="15.75" customHeight="1">
      <c r="A17" s="73"/>
      <c r="B17" s="92" t="s">
        <v>75</v>
      </c>
      <c r="C17" s="93">
        <f>'United Spirits IS'!D28/'United Spirits IS'!D7</f>
        <v>0.05726677939</v>
      </c>
      <c r="D17" s="93">
        <f>'United Spirits IS'!E28/'United Spirits IS'!E7</f>
        <v>0.05100295444</v>
      </c>
      <c r="E17" s="93">
        <f>'United Spirits IS'!F28/'United Spirits IS'!F7</f>
        <v>0.03804426443</v>
      </c>
      <c r="F17" s="93">
        <f>'United Spirits IS'!G28/'United Spirits IS'!G7</f>
        <v>0.02762359204</v>
      </c>
      <c r="G17" s="73"/>
      <c r="H17" s="92" t="s">
        <v>75</v>
      </c>
      <c r="I17" s="93">
        <f>'United Spirits IS'!D19/('United Spirits BS'!D30+'United Spirits BS'!D40)</f>
        <v>0.1737694606</v>
      </c>
      <c r="J17" s="93">
        <f>'United Spirits IS'!E19/('United Spirits BS'!E30+'United Spirits BS'!E40)</f>
        <v>0.1656116179</v>
      </c>
      <c r="K17" s="93">
        <f>'United Spirits IS'!F19/('United Spirits BS'!F30+'United Spirits BS'!F40)</f>
        <v>0.1276773587</v>
      </c>
      <c r="L17" s="93">
        <f>'United Spirits IS'!G19/('United Spirits BS'!G30+'United Spirits BS'!G40)</f>
        <v>0.1439871604</v>
      </c>
      <c r="M17" s="73"/>
      <c r="N17" s="73"/>
    </row>
    <row r="18" ht="15.75" customHeight="1">
      <c r="A18" s="73"/>
      <c r="B18" s="94" t="s">
        <v>81</v>
      </c>
      <c r="C18" s="95" t="s">
        <v>98</v>
      </c>
      <c r="D18" s="3"/>
      <c r="E18" s="3"/>
      <c r="F18" s="4"/>
      <c r="G18" s="73"/>
      <c r="H18" s="94" t="s">
        <v>81</v>
      </c>
      <c r="I18" s="95" t="s">
        <v>99</v>
      </c>
      <c r="J18" s="3"/>
      <c r="K18" s="3"/>
      <c r="L18" s="4"/>
      <c r="M18" s="73"/>
      <c r="N18" s="73"/>
    </row>
    <row r="19" ht="15.75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</row>
    <row r="20" ht="15.75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</row>
    <row r="21" ht="15.7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</row>
    <row r="22" ht="15.7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</row>
    <row r="23" ht="15.7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</row>
    <row r="24" ht="15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</row>
    <row r="25" ht="15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</row>
    <row r="26" ht="15.75" customHeight="1">
      <c r="A26" s="33"/>
    </row>
    <row r="27" ht="15.75" customHeight="1">
      <c r="A27" s="33"/>
    </row>
    <row r="28" ht="15.75" customHeight="1">
      <c r="A28" s="33"/>
    </row>
    <row r="29" ht="15.75" customHeight="1">
      <c r="A29" s="33"/>
    </row>
    <row r="30" ht="15.75" customHeight="1">
      <c r="A30" s="3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12:F12"/>
    <mergeCell ref="B15:F15"/>
    <mergeCell ref="H15:L15"/>
    <mergeCell ref="C18:F18"/>
    <mergeCell ref="I18:L18"/>
    <mergeCell ref="B3:F3"/>
    <mergeCell ref="H3:L3"/>
    <mergeCell ref="C6:F6"/>
    <mergeCell ref="I6:L6"/>
    <mergeCell ref="B9:F9"/>
    <mergeCell ref="H9:L9"/>
    <mergeCell ref="I12:L1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88"/>
    <col customWidth="1" min="3" max="6" width="12.63"/>
  </cols>
  <sheetData>
    <row r="1" ht="15.75" customHeight="1">
      <c r="A1" s="87"/>
      <c r="B1" s="87"/>
      <c r="C1" s="87"/>
      <c r="D1" s="87"/>
      <c r="E1" s="87"/>
      <c r="F1" s="87"/>
      <c r="G1" s="73"/>
      <c r="H1" s="73"/>
    </row>
    <row r="2" ht="15.75" customHeight="1">
      <c r="A2" s="73"/>
      <c r="B2" s="73"/>
      <c r="C2" s="73"/>
      <c r="D2" s="73"/>
      <c r="E2" s="73"/>
      <c r="F2" s="73"/>
      <c r="G2" s="73"/>
      <c r="H2" s="73"/>
    </row>
    <row r="3" ht="15.75" customHeight="1">
      <c r="A3" s="73"/>
      <c r="B3" s="74" t="s">
        <v>100</v>
      </c>
      <c r="C3" s="3"/>
      <c r="D3" s="3"/>
      <c r="E3" s="3"/>
      <c r="F3" s="4"/>
      <c r="G3" s="73"/>
      <c r="H3" s="73"/>
    </row>
    <row r="4" ht="15.75" customHeight="1">
      <c r="A4" s="73"/>
      <c r="B4" s="90" t="s">
        <v>74</v>
      </c>
      <c r="C4" s="76" t="s">
        <v>3</v>
      </c>
      <c r="D4" s="76" t="s">
        <v>4</v>
      </c>
      <c r="E4" s="76" t="s">
        <v>5</v>
      </c>
      <c r="F4" s="76" t="s">
        <v>6</v>
      </c>
      <c r="G4" s="73"/>
      <c r="H4" s="73"/>
    </row>
    <row r="5" ht="15.75" customHeight="1">
      <c r="A5" s="73"/>
      <c r="B5" s="92" t="s">
        <v>75</v>
      </c>
      <c r="C5" s="93">
        <f>'United Spirits BS'!D22/'United Spirits BS'!D30</f>
        <v>1.614164234</v>
      </c>
      <c r="D5" s="93">
        <f>'United Spirits BS'!E22/'United Spirits BS'!E30</f>
        <v>1.542725837</v>
      </c>
      <c r="E5" s="93">
        <f>'United Spirits BS'!F22/'United Spirits BS'!F30</f>
        <v>1.610195155</v>
      </c>
      <c r="F5" s="93">
        <f>'United Spirits BS'!G22/'United Spirits BS'!G30</f>
        <v>1.78311529</v>
      </c>
      <c r="G5" s="73"/>
      <c r="H5" s="73"/>
    </row>
    <row r="6" ht="15.75" customHeight="1">
      <c r="A6" s="73"/>
      <c r="B6" s="94" t="s">
        <v>81</v>
      </c>
      <c r="C6" s="95" t="s">
        <v>101</v>
      </c>
      <c r="D6" s="3"/>
      <c r="E6" s="3"/>
      <c r="F6" s="4"/>
      <c r="G6" s="73"/>
      <c r="H6" s="73"/>
    </row>
    <row r="7" ht="15.75" customHeight="1">
      <c r="A7" s="73"/>
      <c r="B7" s="73"/>
      <c r="C7" s="73"/>
      <c r="D7" s="73"/>
      <c r="E7" s="73"/>
      <c r="F7" s="73"/>
      <c r="G7" s="73"/>
      <c r="H7" s="73"/>
    </row>
    <row r="8" ht="15.75" customHeight="1">
      <c r="A8" s="73"/>
      <c r="B8" s="73"/>
      <c r="C8" s="73"/>
      <c r="D8" s="73"/>
      <c r="E8" s="73"/>
      <c r="F8" s="73"/>
      <c r="G8" s="73"/>
      <c r="H8" s="73"/>
    </row>
    <row r="9" ht="15.75" customHeight="1">
      <c r="A9" s="73"/>
      <c r="B9" s="62" t="s">
        <v>102</v>
      </c>
      <c r="C9" s="3"/>
      <c r="D9" s="3"/>
      <c r="E9" s="3"/>
      <c r="F9" s="4"/>
      <c r="G9" s="73"/>
      <c r="H9" s="73"/>
    </row>
    <row r="10" ht="15.75" customHeight="1">
      <c r="A10" s="73"/>
      <c r="B10" s="91" t="s">
        <v>74</v>
      </c>
      <c r="C10" s="89" t="s">
        <v>3</v>
      </c>
      <c r="D10" s="89" t="s">
        <v>4</v>
      </c>
      <c r="E10" s="89" t="s">
        <v>5</v>
      </c>
      <c r="F10" s="89" t="s">
        <v>6</v>
      </c>
      <c r="G10" s="73"/>
      <c r="H10" s="73"/>
    </row>
    <row r="11" ht="15.75" customHeight="1">
      <c r="A11" s="73"/>
      <c r="B11" s="92" t="s">
        <v>75</v>
      </c>
      <c r="C11" s="93">
        <f>'United Spirits BS'!D40/'United Spirits BS'!D30</f>
        <v>0.614164234</v>
      </c>
      <c r="D11" s="93">
        <f>'United Spirits BS'!E40/'United Spirits BS'!E30</f>
        <v>0.5427258366</v>
      </c>
      <c r="E11" s="93">
        <f>'United Spirits BS'!F40/'United Spirits BS'!F30</f>
        <v>0.6101951548</v>
      </c>
      <c r="F11" s="93">
        <f>'United Spirits BS'!G40/'United Spirits BS'!G30</f>
        <v>0.7831152903</v>
      </c>
      <c r="G11" s="73"/>
      <c r="H11" s="73"/>
      <c r="K11" s="96"/>
    </row>
    <row r="12" ht="15.75" customHeight="1">
      <c r="A12" s="73"/>
      <c r="B12" s="94" t="s">
        <v>81</v>
      </c>
      <c r="C12" s="95" t="s">
        <v>103</v>
      </c>
      <c r="D12" s="3"/>
      <c r="E12" s="3"/>
      <c r="F12" s="4"/>
      <c r="G12" s="73"/>
      <c r="H12" s="73"/>
    </row>
    <row r="13" ht="15.75" customHeight="1">
      <c r="A13" s="73"/>
      <c r="B13" s="73"/>
      <c r="C13" s="73"/>
      <c r="D13" s="73"/>
      <c r="E13" s="73"/>
      <c r="F13" s="73"/>
      <c r="G13" s="73"/>
      <c r="H13" s="73"/>
    </row>
    <row r="14" ht="15.75" customHeight="1">
      <c r="A14" s="73"/>
      <c r="B14" s="73"/>
      <c r="C14" s="73"/>
      <c r="D14" s="73"/>
      <c r="E14" s="73"/>
      <c r="F14" s="73"/>
      <c r="G14" s="73"/>
      <c r="H14" s="73"/>
    </row>
    <row r="15" ht="15.75" customHeight="1">
      <c r="A15" s="73"/>
      <c r="B15" s="62" t="s">
        <v>104</v>
      </c>
      <c r="C15" s="3"/>
      <c r="D15" s="3"/>
      <c r="E15" s="3"/>
      <c r="F15" s="4"/>
      <c r="G15" s="73"/>
      <c r="H15" s="73"/>
    </row>
    <row r="16" ht="15.75" customHeight="1">
      <c r="A16" s="73"/>
      <c r="B16" s="91" t="s">
        <v>74</v>
      </c>
      <c r="C16" s="89" t="s">
        <v>3</v>
      </c>
      <c r="D16" s="89" t="s">
        <v>4</v>
      </c>
      <c r="E16" s="89" t="s">
        <v>5</v>
      </c>
      <c r="F16" s="89" t="s">
        <v>6</v>
      </c>
      <c r="G16" s="73"/>
      <c r="H16" s="73"/>
    </row>
    <row r="17" ht="15.75" customHeight="1">
      <c r="A17" s="73"/>
      <c r="B17" s="92" t="s">
        <v>75</v>
      </c>
      <c r="C17" s="93">
        <f>'United Spirits IS'!D19/'United Spirits IS'!D21</f>
        <v>24.83146067</v>
      </c>
      <c r="D17" s="93">
        <f>'United Spirits IS'!E19/'United Spirits IS'!E21</f>
        <v>23.40789474</v>
      </c>
      <c r="E17" s="93">
        <f>'United Spirits IS'!F19/'United Spirits IS'!F21</f>
        <v>11.75</v>
      </c>
      <c r="F17" s="93">
        <f>'United Spirits IS'!G19/'United Spirits IS'!G21</f>
        <v>14.27272727</v>
      </c>
      <c r="G17" s="73"/>
      <c r="H17" s="73"/>
    </row>
    <row r="18" ht="15.75" customHeight="1">
      <c r="A18" s="73"/>
      <c r="B18" s="94" t="s">
        <v>81</v>
      </c>
      <c r="C18" s="95" t="s">
        <v>105</v>
      </c>
      <c r="D18" s="3"/>
      <c r="E18" s="3"/>
      <c r="F18" s="4"/>
      <c r="G18" s="73"/>
      <c r="H18" s="73"/>
    </row>
    <row r="19" ht="15.75" customHeight="1">
      <c r="A19" s="73"/>
      <c r="B19" s="73"/>
      <c r="C19" s="73"/>
      <c r="D19" s="73"/>
      <c r="E19" s="73"/>
      <c r="F19" s="73"/>
      <c r="G19" s="73"/>
      <c r="H19" s="73"/>
    </row>
    <row r="20" ht="15.75" customHeight="1">
      <c r="A20" s="73"/>
      <c r="B20" s="73"/>
      <c r="C20" s="73"/>
      <c r="D20" s="73"/>
      <c r="E20" s="73"/>
      <c r="F20" s="73"/>
      <c r="G20" s="73"/>
      <c r="H20" s="73"/>
    </row>
    <row r="21" ht="15.75" customHeight="1">
      <c r="A21" s="73"/>
      <c r="B21" s="73"/>
      <c r="C21" s="73"/>
      <c r="D21" s="73"/>
      <c r="E21" s="73"/>
      <c r="F21" s="73"/>
      <c r="G21" s="73"/>
      <c r="H21" s="73"/>
    </row>
    <row r="22" ht="15.75" customHeight="1">
      <c r="A22" s="73"/>
      <c r="B22" s="73"/>
      <c r="C22" s="73"/>
      <c r="D22" s="73"/>
      <c r="E22" s="73"/>
      <c r="F22" s="73"/>
      <c r="G22" s="73"/>
      <c r="H22" s="7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F3"/>
    <mergeCell ref="C6:F6"/>
    <mergeCell ref="B9:F9"/>
    <mergeCell ref="C12:F12"/>
    <mergeCell ref="B15:F15"/>
    <mergeCell ref="C18:F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88"/>
    <col customWidth="1" min="3" max="6" width="12.63"/>
    <col customWidth="1" min="8" max="8" width="13.88"/>
  </cols>
  <sheetData>
    <row r="1" ht="15.7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ht="15.75" customHeight="1">
      <c r="A2" s="73"/>
      <c r="B2" s="97"/>
      <c r="C2" s="97"/>
      <c r="D2" s="97"/>
      <c r="E2" s="97"/>
      <c r="F2" s="97"/>
      <c r="G2" s="73"/>
      <c r="H2" s="73"/>
      <c r="I2" s="73"/>
      <c r="J2" s="73"/>
      <c r="K2" s="73"/>
      <c r="L2" s="73"/>
      <c r="M2" s="73"/>
    </row>
    <row r="3" ht="15.75" customHeight="1">
      <c r="A3" s="73"/>
      <c r="B3" s="62" t="s">
        <v>106</v>
      </c>
      <c r="C3" s="3"/>
      <c r="D3" s="3"/>
      <c r="E3" s="3"/>
      <c r="F3" s="4"/>
      <c r="G3" s="73"/>
      <c r="H3" s="74" t="s">
        <v>107</v>
      </c>
      <c r="I3" s="3"/>
      <c r="J3" s="3"/>
      <c r="K3" s="3"/>
      <c r="L3" s="4"/>
      <c r="M3" s="73"/>
    </row>
    <row r="4" ht="15.75" customHeight="1">
      <c r="A4" s="73"/>
      <c r="B4" s="88" t="s">
        <v>74</v>
      </c>
      <c r="C4" s="89" t="s">
        <v>3</v>
      </c>
      <c r="D4" s="89" t="s">
        <v>4</v>
      </c>
      <c r="E4" s="89" t="s">
        <v>5</v>
      </c>
      <c r="F4" s="89" t="s">
        <v>6</v>
      </c>
      <c r="G4" s="73"/>
      <c r="H4" s="88" t="s">
        <v>74</v>
      </c>
      <c r="I4" s="89" t="s">
        <v>3</v>
      </c>
      <c r="J4" s="89" t="s">
        <v>4</v>
      </c>
      <c r="K4" s="89" t="s">
        <v>5</v>
      </c>
      <c r="L4" s="89" t="s">
        <v>6</v>
      </c>
      <c r="M4" s="73"/>
    </row>
    <row r="5" ht="15.75" customHeight="1">
      <c r="A5" s="73"/>
      <c r="B5" s="92" t="s">
        <v>75</v>
      </c>
      <c r="C5" s="93">
        <f>'United Spirits IS'!D28/I11</f>
        <v>21.43053645</v>
      </c>
      <c r="D5" s="93">
        <f>'United Spirits IS'!E28/J11</f>
        <v>18.04676754</v>
      </c>
      <c r="E5" s="93">
        <f>'United Spirits IS'!F28/K11</f>
        <v>14.47042641</v>
      </c>
      <c r="F5" s="93">
        <f>'United Spirits IS'!G28/L11</f>
        <v>11.70563961</v>
      </c>
      <c r="G5" s="73"/>
      <c r="H5" s="79" t="s">
        <v>75</v>
      </c>
      <c r="I5" s="80">
        <f>((I11*I16)+'United Spirits BS'!D40-'United Spirits BS'!D16)/('United Spirits IS'!D19+'United Spirits IS'!D16)</f>
        <v>43.92270531</v>
      </c>
      <c r="J5" s="80">
        <f>((J11*J16)+'United Spirits BS'!E40-'United Spirits BS'!E16)/('United Spirits IS'!E19+'United Spirits IS'!E16)</f>
        <v>40.49339207</v>
      </c>
      <c r="K5" s="80">
        <f>((K11*K16)+'United Spirits BS'!F40-'United Spirits BS'!F16)/('United Spirits IS'!F19+'United Spirits IS'!F16)</f>
        <v>46.19959812</v>
      </c>
      <c r="L5" s="80">
        <f>((L11*L16)+'United Spirits BS'!G40-'United Spirits BS'!G16)/('United Spirits IS'!G19+'United Spirits IS'!G16)</f>
        <v>39.16504854</v>
      </c>
      <c r="M5" s="73"/>
    </row>
    <row r="6" ht="15.75" customHeight="1">
      <c r="A6" s="73"/>
      <c r="B6" s="94" t="s">
        <v>81</v>
      </c>
      <c r="C6" s="95" t="s">
        <v>108</v>
      </c>
      <c r="D6" s="3"/>
      <c r="E6" s="3"/>
      <c r="F6" s="4"/>
      <c r="G6" s="73"/>
      <c r="H6" s="94" t="s">
        <v>81</v>
      </c>
      <c r="I6" s="95" t="s">
        <v>109</v>
      </c>
      <c r="J6" s="3"/>
      <c r="K6" s="3"/>
      <c r="L6" s="4"/>
      <c r="M6" s="73"/>
    </row>
    <row r="7" ht="15.75" customHeight="1">
      <c r="A7" s="73"/>
      <c r="B7" s="98"/>
      <c r="C7" s="99"/>
      <c r="D7" s="99"/>
      <c r="E7" s="99"/>
      <c r="F7" s="99"/>
      <c r="G7" s="73"/>
      <c r="H7" s="85"/>
      <c r="I7" s="86"/>
      <c r="J7" s="86"/>
      <c r="K7" s="86"/>
      <c r="L7" s="86"/>
      <c r="M7" s="73"/>
    </row>
    <row r="8" ht="15.75" customHeight="1">
      <c r="A8" s="73"/>
      <c r="B8" s="73"/>
      <c r="C8" s="73"/>
      <c r="D8" s="73"/>
      <c r="E8" s="73"/>
      <c r="F8" s="73"/>
      <c r="G8" s="73"/>
    </row>
    <row r="9" ht="15.75" customHeight="1">
      <c r="A9" s="73"/>
      <c r="B9" s="62" t="s">
        <v>110</v>
      </c>
      <c r="C9" s="3"/>
      <c r="D9" s="3"/>
      <c r="E9" s="3"/>
      <c r="F9" s="4"/>
      <c r="G9" s="73"/>
      <c r="H9" s="100" t="s">
        <v>111</v>
      </c>
      <c r="I9" s="3"/>
      <c r="J9" s="3"/>
      <c r="K9" s="3"/>
      <c r="L9" s="4"/>
    </row>
    <row r="10" ht="15.75" customHeight="1">
      <c r="A10" s="73"/>
      <c r="B10" s="88" t="s">
        <v>74</v>
      </c>
      <c r="C10" s="89" t="s">
        <v>3</v>
      </c>
      <c r="D10" s="89" t="s">
        <v>4</v>
      </c>
      <c r="E10" s="89" t="s">
        <v>5</v>
      </c>
      <c r="F10" s="89" t="s">
        <v>6</v>
      </c>
      <c r="G10" s="73"/>
      <c r="H10" s="101" t="s">
        <v>74</v>
      </c>
      <c r="I10" s="102" t="s">
        <v>3</v>
      </c>
      <c r="J10" s="102" t="s">
        <v>4</v>
      </c>
      <c r="K10" s="102" t="s">
        <v>5</v>
      </c>
      <c r="L10" s="102" t="s">
        <v>6</v>
      </c>
    </row>
    <row r="11" ht="15.75" customHeight="1">
      <c r="A11" s="73"/>
      <c r="B11" s="79" t="s">
        <v>75</v>
      </c>
      <c r="C11" s="80">
        <f t="shared" ref="C11:F11" si="1">I16/C5</f>
        <v>67.66046213</v>
      </c>
      <c r="D11" s="80">
        <f t="shared" si="1"/>
        <v>60.9527439</v>
      </c>
      <c r="E11" s="80">
        <f t="shared" si="1"/>
        <v>62.19581749</v>
      </c>
      <c r="F11" s="80">
        <f t="shared" si="1"/>
        <v>66.63454759</v>
      </c>
      <c r="G11" s="73"/>
      <c r="H11" s="79" t="s">
        <v>75</v>
      </c>
      <c r="I11" s="103">
        <v>72.7</v>
      </c>
      <c r="J11" s="103">
        <v>72.7</v>
      </c>
      <c r="K11" s="103">
        <v>72.7</v>
      </c>
      <c r="L11" s="103">
        <v>72.7</v>
      </c>
    </row>
    <row r="12" ht="15.75" customHeight="1">
      <c r="A12" s="73"/>
      <c r="B12" s="94" t="s">
        <v>81</v>
      </c>
      <c r="C12" s="95" t="s">
        <v>112</v>
      </c>
      <c r="D12" s="3"/>
      <c r="E12" s="3"/>
      <c r="F12" s="4"/>
      <c r="G12" s="73"/>
      <c r="H12" s="104"/>
      <c r="I12" s="105"/>
      <c r="J12" s="105"/>
      <c r="K12" s="105"/>
      <c r="L12" s="105"/>
    </row>
    <row r="13" ht="15.75" customHeight="1">
      <c r="A13" s="73"/>
      <c r="B13" s="73"/>
      <c r="C13" s="73"/>
      <c r="D13" s="73"/>
      <c r="E13" s="73"/>
      <c r="F13" s="73"/>
      <c r="G13" s="73"/>
      <c r="H13" s="104"/>
      <c r="I13" s="105"/>
      <c r="J13" s="105"/>
      <c r="K13" s="105"/>
      <c r="L13" s="105"/>
    </row>
    <row r="14" ht="15.75" customHeight="1">
      <c r="A14" s="73"/>
      <c r="B14" s="73"/>
      <c r="C14" s="73"/>
      <c r="D14" s="73"/>
      <c r="E14" s="73"/>
      <c r="F14" s="73"/>
      <c r="G14" s="73"/>
      <c r="H14" s="100" t="s">
        <v>113</v>
      </c>
      <c r="I14" s="3"/>
      <c r="J14" s="3"/>
      <c r="K14" s="3"/>
      <c r="L14" s="4"/>
    </row>
    <row r="15" ht="15.75" customHeight="1">
      <c r="A15" s="73"/>
      <c r="B15" s="74" t="s">
        <v>114</v>
      </c>
      <c r="C15" s="3"/>
      <c r="D15" s="3"/>
      <c r="E15" s="3"/>
      <c r="F15" s="4"/>
      <c r="G15" s="73"/>
      <c r="H15" s="101" t="s">
        <v>74</v>
      </c>
      <c r="I15" s="102" t="s">
        <v>3</v>
      </c>
      <c r="J15" s="102" t="s">
        <v>4</v>
      </c>
      <c r="K15" s="102" t="s">
        <v>5</v>
      </c>
      <c r="L15" s="102" t="s">
        <v>6</v>
      </c>
    </row>
    <row r="16" ht="15.75" customHeight="1">
      <c r="A16" s="73"/>
      <c r="B16" s="75" t="s">
        <v>74</v>
      </c>
      <c r="C16" s="76" t="s">
        <v>3</v>
      </c>
      <c r="D16" s="76" t="s">
        <v>4</v>
      </c>
      <c r="E16" s="76" t="s">
        <v>5</v>
      </c>
      <c r="F16" s="76" t="s">
        <v>6</v>
      </c>
      <c r="G16" s="73"/>
      <c r="H16" s="79" t="s">
        <v>75</v>
      </c>
      <c r="I16" s="106">
        <v>1450.0</v>
      </c>
      <c r="J16" s="106">
        <v>1100.0</v>
      </c>
      <c r="K16" s="106">
        <v>900.0</v>
      </c>
      <c r="L16" s="106">
        <v>780.0</v>
      </c>
    </row>
    <row r="17" ht="15.75" customHeight="1">
      <c r="A17" s="73"/>
      <c r="B17" s="79" t="s">
        <v>75</v>
      </c>
      <c r="C17" s="80">
        <f>(I11*I16)/'United Spirits IS'!D7</f>
        <v>3.874696758</v>
      </c>
      <c r="D17" s="80">
        <f>(J11*J16)/'United Spirits IS'!E7</f>
        <v>3.10877002</v>
      </c>
      <c r="E17" s="80">
        <f>(K11*K16)/'United Spirits IS'!F7</f>
        <v>2.366194127</v>
      </c>
      <c r="F17" s="80">
        <f>(L11*L16)/'United Spirits IS'!G7</f>
        <v>1.840685558</v>
      </c>
      <c r="G17" s="73"/>
    </row>
    <row r="18" ht="15.75" customHeight="1">
      <c r="A18" s="73"/>
      <c r="B18" s="94" t="s">
        <v>81</v>
      </c>
      <c r="C18" s="95" t="s">
        <v>115</v>
      </c>
      <c r="D18" s="3"/>
      <c r="E18" s="3"/>
      <c r="F18" s="4"/>
      <c r="G18" s="73"/>
    </row>
    <row r="19" ht="15.75" customHeight="1">
      <c r="A19" s="73"/>
      <c r="B19" s="73"/>
      <c r="C19" s="73"/>
      <c r="D19" s="73"/>
      <c r="E19" s="73"/>
      <c r="F19" s="73"/>
      <c r="G19" s="73"/>
    </row>
    <row r="20" ht="15.75" customHeight="1">
      <c r="A20" s="73"/>
      <c r="B20" s="73"/>
      <c r="C20" s="73"/>
      <c r="D20" s="73"/>
      <c r="E20" s="73"/>
      <c r="F20" s="73"/>
      <c r="G20" s="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12:F12"/>
    <mergeCell ref="B15:F15"/>
    <mergeCell ref="C18:F18"/>
    <mergeCell ref="B3:F3"/>
    <mergeCell ref="H3:L3"/>
    <mergeCell ref="C6:F6"/>
    <mergeCell ref="I6:L6"/>
    <mergeCell ref="B9:F9"/>
    <mergeCell ref="H9:L9"/>
    <mergeCell ref="H14:L1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